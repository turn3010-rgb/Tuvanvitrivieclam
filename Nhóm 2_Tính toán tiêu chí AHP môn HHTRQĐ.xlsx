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TRUNG\Hệ hỗ trợ ra quyết định\HỆ HỖ TRỢ RA QUYẾT ĐỊNH\"/>
    </mc:Choice>
  </mc:AlternateContent>
  <xr:revisionPtr revIDLastSave="0" documentId="13_ncr:1_{7A58BAD7-CD03-42B1-A5A2-CADB2C83D60A}" xr6:coauthVersionLast="47" xr6:coauthVersionMax="47" xr10:uidLastSave="{00000000-0000-0000-0000-000000000000}"/>
  <bookViews>
    <workbookView xWindow="-108" yWindow="-108" windowWidth="23256" windowHeight="12456" xr2:uid="{00000000-000D-0000-FFFF-FFFF00000000}"/>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1" l="1"/>
  <c r="G37" i="1"/>
  <c r="B23" i="2" a="1"/>
  <c r="B23" i="2" s="1"/>
  <c r="B24" i="2" s="1"/>
  <c r="B26" i="2" s="1"/>
  <c r="C29" i="1"/>
  <c r="C37" i="1"/>
  <c r="L118" i="2" a="1"/>
  <c r="L118" i="2" s="1"/>
  <c r="L119" i="2" a="1"/>
  <c r="L119" i="2" s="1"/>
  <c r="L120" i="2" a="1"/>
  <c r="L120" i="2" s="1"/>
  <c r="L121" i="2" a="1"/>
  <c r="L121" i="2" s="1"/>
  <c r="L122" i="2" a="1"/>
  <c r="L122" i="2" s="1"/>
  <c r="L123" i="2" a="1"/>
  <c r="L123" i="2" s="1"/>
  <c r="L124" i="2" a="1"/>
  <c r="L124" i="2" s="1"/>
  <c r="L117" i="2" a="1"/>
  <c r="L117" i="2" s="1"/>
  <c r="B110" i="2"/>
  <c r="B112" i="2" s="1"/>
  <c r="B95" i="2"/>
  <c r="B97" i="2" s="1"/>
  <c r="M95" i="2"/>
  <c r="M97" i="2" s="1"/>
  <c r="B80" i="2"/>
  <c r="M80" i="2"/>
  <c r="C18" i="2"/>
  <c r="D18" i="2"/>
  <c r="E18" i="2"/>
  <c r="F18" i="2"/>
  <c r="C17" i="2"/>
  <c r="D17" i="2"/>
  <c r="E17" i="2"/>
  <c r="F17" i="2"/>
  <c r="C16" i="2"/>
  <c r="D16" i="2"/>
  <c r="E16" i="2"/>
  <c r="F16" i="2"/>
  <c r="B18" i="2"/>
  <c r="B17" i="2"/>
  <c r="B16" i="2"/>
  <c r="C15" i="2"/>
  <c r="D15" i="2"/>
  <c r="E15" i="2"/>
  <c r="F15" i="2"/>
  <c r="B15" i="2"/>
  <c r="C14" i="2"/>
  <c r="D14" i="2"/>
  <c r="E14" i="2"/>
  <c r="F14" i="2"/>
  <c r="B14" i="2"/>
  <c r="F24" i="1"/>
  <c r="M82" i="2" l="1"/>
  <c r="B82" i="2"/>
  <c r="L124" i="1"/>
  <c r="L123" i="1"/>
  <c r="L122" i="1"/>
  <c r="L121" i="1"/>
  <c r="AE66" i="1" l="1"/>
  <c r="AE67" i="1"/>
  <c r="AH95" i="1" l="1"/>
  <c r="AJ95" i="1" s="1"/>
  <c r="AH96" i="1"/>
  <c r="AJ96" i="1" s="1"/>
  <c r="AH97" i="1"/>
  <c r="AJ97" i="1" s="1"/>
  <c r="AH94" i="1"/>
  <c r="AJ94" i="1" s="1"/>
  <c r="AD99" i="1" s="1"/>
  <c r="AD100" i="1" s="1"/>
  <c r="AD101" i="1" s="1"/>
  <c r="Y95" i="1"/>
  <c r="AA95" i="1" s="1"/>
  <c r="Y96" i="1"/>
  <c r="AA96" i="1" s="1"/>
  <c r="Y97" i="1"/>
  <c r="AA97" i="1" s="1"/>
  <c r="Y94" i="1"/>
  <c r="P95" i="1"/>
  <c r="R95" i="1" s="1"/>
  <c r="P96" i="1"/>
  <c r="R96" i="1" s="1"/>
  <c r="P97" i="1"/>
  <c r="R97" i="1" s="1"/>
  <c r="P94" i="1"/>
  <c r="R94" i="1" s="1"/>
  <c r="G95" i="1"/>
  <c r="G96" i="1"/>
  <c r="G97" i="1"/>
  <c r="I97" i="1" s="1"/>
  <c r="G94" i="1"/>
  <c r="I94" i="1" s="1"/>
  <c r="AF90" i="1"/>
  <c r="AE90" i="1"/>
  <c r="AG90" i="1"/>
  <c r="AD90" i="1"/>
  <c r="AG89" i="1"/>
  <c r="AG88" i="1"/>
  <c r="AG87" i="1"/>
  <c r="X89" i="1"/>
  <c r="X88" i="1"/>
  <c r="X87" i="1"/>
  <c r="V90" i="1"/>
  <c r="W90" i="1"/>
  <c r="X90" i="1"/>
  <c r="U90" i="1"/>
  <c r="O89" i="1"/>
  <c r="O88" i="1"/>
  <c r="O87" i="1"/>
  <c r="O90" i="1"/>
  <c r="F90" i="1"/>
  <c r="M90" i="1"/>
  <c r="N90" i="1"/>
  <c r="L90" i="1"/>
  <c r="L89" i="1"/>
  <c r="F89" i="1"/>
  <c r="F88" i="1"/>
  <c r="F87" i="1"/>
  <c r="E87" i="1"/>
  <c r="D90" i="1"/>
  <c r="E90" i="1"/>
  <c r="C90" i="1"/>
  <c r="C87" i="1"/>
  <c r="L99" i="1" l="1"/>
  <c r="L100" i="1" s="1"/>
  <c r="L101" i="1" s="1"/>
  <c r="AG68" i="1" l="1"/>
  <c r="AF68" i="1"/>
  <c r="AF75" i="1" s="1"/>
  <c r="AD68" i="1"/>
  <c r="AD75" i="1" s="1"/>
  <c r="AE64" i="1"/>
  <c r="V68" i="1"/>
  <c r="V75" i="1" s="1"/>
  <c r="X65" i="1"/>
  <c r="X64" i="1"/>
  <c r="W67" i="1"/>
  <c r="W65" i="1"/>
  <c r="W64" i="1"/>
  <c r="U66" i="1"/>
  <c r="U65" i="1"/>
  <c r="U68" i="1" s="1"/>
  <c r="U75" i="1" s="1"/>
  <c r="L67" i="1"/>
  <c r="N67" i="1"/>
  <c r="M67" i="1"/>
  <c r="O66" i="1"/>
  <c r="M66" i="1"/>
  <c r="L66" i="1"/>
  <c r="O65" i="1"/>
  <c r="N65" i="1"/>
  <c r="L65" i="1"/>
  <c r="O64" i="1"/>
  <c r="N64" i="1"/>
  <c r="M64" i="1"/>
  <c r="D66" i="1"/>
  <c r="C66" i="1"/>
  <c r="C67" i="1"/>
  <c r="D67" i="1"/>
  <c r="E67" i="1"/>
  <c r="F66" i="1"/>
  <c r="F65" i="1"/>
  <c r="F64" i="1"/>
  <c r="F68" i="1" s="1"/>
  <c r="F75" i="1" s="1"/>
  <c r="E64" i="1"/>
  <c r="D64" i="1"/>
  <c r="E65" i="1"/>
  <c r="C65" i="1"/>
  <c r="W68" i="1" l="1"/>
  <c r="W75" i="1" s="1"/>
  <c r="M68" i="1"/>
  <c r="M75" i="1"/>
  <c r="X68" i="1"/>
  <c r="X72" i="1"/>
  <c r="X73" i="1"/>
  <c r="AG75" i="1"/>
  <c r="AG72" i="1"/>
  <c r="AG74" i="1"/>
  <c r="AG73" i="1"/>
  <c r="O68" i="1"/>
  <c r="O75" i="1" s="1"/>
  <c r="AE68" i="1"/>
  <c r="E68" i="1"/>
  <c r="E74" i="1" s="1"/>
  <c r="D68" i="1"/>
  <c r="D75" i="1" s="1"/>
  <c r="L68" i="1"/>
  <c r="L75" i="1" s="1"/>
  <c r="C68" i="1"/>
  <c r="C72" i="1" s="1"/>
  <c r="N68" i="1"/>
  <c r="N75" i="1" s="1"/>
  <c r="F74" i="1"/>
  <c r="F72" i="1"/>
  <c r="F73" i="1"/>
  <c r="E23" i="1"/>
  <c r="D23" i="1"/>
  <c r="D22" i="1"/>
  <c r="AE75" i="1" l="1"/>
  <c r="AH75" i="1" s="1"/>
  <c r="P75" i="1"/>
  <c r="N72" i="1"/>
  <c r="C73" i="1"/>
  <c r="C74" i="1"/>
  <c r="E75" i="1"/>
  <c r="E73" i="1"/>
  <c r="C75" i="1"/>
  <c r="O73" i="1"/>
  <c r="X74" i="1"/>
  <c r="X75" i="1"/>
  <c r="Y75" i="1" s="1"/>
  <c r="O74" i="1"/>
  <c r="O72" i="1"/>
  <c r="G75" i="1"/>
  <c r="E21" i="1"/>
  <c r="C23" i="1"/>
  <c r="C22" i="1"/>
  <c r="C21" i="1"/>
  <c r="F38" i="1" l="1"/>
  <c r="F39" i="1"/>
  <c r="F40" i="1"/>
  <c r="F37" i="1"/>
  <c r="E39" i="1"/>
  <c r="E37" i="1"/>
  <c r="D38" i="1"/>
  <c r="D39" i="1"/>
  <c r="D37" i="1"/>
  <c r="H41" i="1" l="1"/>
  <c r="AA94" i="1" l="1"/>
  <c r="U99" i="1" s="1"/>
  <c r="U100" i="1" s="1"/>
  <c r="U101" i="1" s="1"/>
  <c r="I95" i="1"/>
  <c r="I96" i="1"/>
  <c r="L87" i="1"/>
  <c r="AE89" i="1"/>
  <c r="AF89" i="1"/>
  <c r="AD89" i="1"/>
  <c r="AE88" i="1"/>
  <c r="AF88" i="1"/>
  <c r="AD88" i="1"/>
  <c r="AE87" i="1"/>
  <c r="AF87" i="1"/>
  <c r="AD87" i="1"/>
  <c r="V89" i="1"/>
  <c r="W89" i="1"/>
  <c r="U89" i="1"/>
  <c r="V88" i="1"/>
  <c r="W88" i="1"/>
  <c r="U88" i="1"/>
  <c r="V87" i="1"/>
  <c r="W87" i="1"/>
  <c r="U87" i="1"/>
  <c r="M89" i="1"/>
  <c r="N89" i="1"/>
  <c r="M88" i="1"/>
  <c r="N88" i="1"/>
  <c r="L88" i="1"/>
  <c r="M87" i="1"/>
  <c r="N87" i="1"/>
  <c r="D89" i="1"/>
  <c r="E89" i="1"/>
  <c r="C89" i="1"/>
  <c r="D88" i="1"/>
  <c r="E88" i="1"/>
  <c r="C88" i="1"/>
  <c r="D87" i="1"/>
  <c r="AE72" i="1"/>
  <c r="AD72" i="1"/>
  <c r="V74" i="1"/>
  <c r="E40" i="1"/>
  <c r="D40" i="1"/>
  <c r="C40" i="1"/>
  <c r="C39" i="1"/>
  <c r="G39" i="1" s="1"/>
  <c r="H39" i="1" s="1"/>
  <c r="C99" i="1" l="1"/>
  <c r="C100" i="1" s="1"/>
  <c r="C101" i="1" s="1"/>
  <c r="L72" i="1"/>
  <c r="M72" i="1"/>
  <c r="F32" i="1"/>
  <c r="F27" i="1"/>
  <c r="U72" i="1"/>
  <c r="G40" i="1"/>
  <c r="H40" i="1" s="1"/>
  <c r="W72" i="1"/>
  <c r="D73" i="1"/>
  <c r="G73" i="1" s="1"/>
  <c r="C38" i="1"/>
  <c r="E38" i="1"/>
  <c r="AF72" i="1"/>
  <c r="AH72" i="1" s="1"/>
  <c r="C24" i="1"/>
  <c r="V72" i="1"/>
  <c r="V73" i="1"/>
  <c r="AE73" i="1"/>
  <c r="AE74" i="1"/>
  <c r="M74" i="1"/>
  <c r="AD74" i="1"/>
  <c r="M73" i="1"/>
  <c r="AD73" i="1"/>
  <c r="F31" i="1"/>
  <c r="E24" i="1"/>
  <c r="D24" i="1"/>
  <c r="Y72" i="1" l="1"/>
  <c r="P72" i="1"/>
  <c r="N74" i="1"/>
  <c r="N73" i="1"/>
  <c r="L74" i="1"/>
  <c r="P74" i="1" s="1"/>
  <c r="L73" i="1"/>
  <c r="P73" i="1" s="1"/>
  <c r="W73" i="1"/>
  <c r="W74" i="1"/>
  <c r="U73" i="1"/>
  <c r="Y73" i="1" s="1"/>
  <c r="U74" i="1"/>
  <c r="Y74" i="1" s="1"/>
  <c r="D74" i="1"/>
  <c r="G74" i="1" s="1"/>
  <c r="D72" i="1"/>
  <c r="E31" i="1"/>
  <c r="E27" i="1"/>
  <c r="F30" i="1"/>
  <c r="F29" i="1"/>
  <c r="D31" i="1"/>
  <c r="D27" i="1"/>
  <c r="C31" i="1"/>
  <c r="C27" i="1"/>
  <c r="AF73" i="1"/>
  <c r="AH73" i="1" s="1"/>
  <c r="C32" i="1"/>
  <c r="AF74" i="1"/>
  <c r="AH74" i="1" s="1"/>
  <c r="G38" i="1"/>
  <c r="H38" i="1" s="1"/>
  <c r="H43" i="1" s="1"/>
  <c r="H44" i="1" s="1"/>
  <c r="E72" i="1"/>
  <c r="E32" i="1"/>
  <c r="D32" i="1"/>
  <c r="G31" i="1" l="1"/>
  <c r="G72" i="1"/>
  <c r="C30" i="1"/>
  <c r="D29" i="1"/>
  <c r="D30" i="1"/>
  <c r="E29" i="1"/>
  <c r="G29" i="1" s="1"/>
  <c r="E30" i="1"/>
  <c r="G32" i="1"/>
  <c r="G30" i="1" l="1"/>
  <c r="G3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tc={D4A56FF0-3EBD-4D1A-8ACE-F058ADF4269C}</author>
    <author>tc={307CE836-FD36-489B-A9CB-0E4D2F730B38}</author>
    <author>tc={24866E38-49BC-436D-BBF1-2A7D6B993635}</author>
    <author>tc={B225B483-23AB-48CC-997B-7DD2E9C3E457}</author>
    <author>tc={35F878A5-EB4A-4BF6-BEDF-29D67FE5B403}</author>
    <author>tc={AD0AED09-B56E-482F-9EA8-F20767035E24}</author>
    <author>tc={08B263D1-C99B-4504-8E67-F9D99F274533}</author>
    <author>tc={622CF920-5F90-453A-B83E-2DD495761484}</author>
    <author>tc={0520669A-47E3-4DBA-8359-AF10CD5E1A52}</author>
  </authors>
  <commentList>
    <comment ref="A30" authorId="0" shapeId="0" xr:uid="{D4A56FF0-3EBD-4D1A-8ACE-F058ADF4269C}">
      <text>
        <t xml:space="preserve">[Threaded comment]
Your version of Excel allows you to read this threaded comment; however, any edits to it will get removed if the file is opened in a newer version of Excel. Learn more: https://go.microsoft.com/fwlink/?linkid=870924
Comment:
    (Tier 1 - AI &amp; Backend): Đây là hai vị trí phải viết những logic thuật toán phức tạp nhất, tối ưu bộ nhớ và hiệu năng hệ thống liên tục. Chấm chúng quan trọng nhất (điểm 9 so với BA).
Tier 2 (DevOps): Phải viết script (Python, Bash, Go) để tự động hóa hạ tầng cực nhiều, độ khó code đôi khi cao hơn cả làm giao diện.
Tier 3 (FE/Mobile): Chủ yếu code UI/UX và gọi API. Logic không sâu bằng Backend.
Đáy (BA &amp; Tester): BA chỉ viết tài liệu (viết code = 0). Tester có thể viết code Automation nhưng mức độ cơ bản.
</t>
      </text>
    </comment>
    <comment ref="K30" authorId="1" shapeId="0" xr:uid="{307CE836-FD36-489B-A9CB-0E4D2F730B38}">
      <text>
        <t xml:space="preserve">[Threaded comment]
Your version of Excel allows you to read this threaded comment; however, any edits to it will get removed if the file is opened in a newer version of Excel. Learn more: https://go.microsoft.com/fwlink/?linkid=870924
Comment:
    (Tier 1 - AI &amp; DA): Em không thể làm AI hay Data nếu không giỏi Đại số tuyến tính, Xác suất thống kê và Ma trận. Đây là "hơi thở" của 2 vị trí này. AI và DA ngang nhau (1). AI áp đảo hoàn toàn FE (điểm 9).
Tier 2 (Backend &amp; DevOps): Backend cần hiểu cấu trúc dữ liệu tốt để thiết kế Database. DevOps cần xử lý logs và metric data.
Đáy: Frontend, Mobile chỉ lấy dữ liệu đã xử lý sẵn hiển thị lên. Không cần tính toán nhiều.
</t>
      </text>
    </comment>
    <comment ref="A43" authorId="2" shapeId="0" xr:uid="{24866E38-49BC-436D-BBF1-2A7D6B993635}">
      <text>
        <t xml:space="preserve">[Threaded comment]
Your version of Excel allows you to read this threaded comment; however, any edits to it will get removed if the file is opened in a newer version of Excel. Learn more: https://go.microsoft.com/fwlink/?linkid=870924
Comment:
    (Tier 1 - DevOps): Hệ thống, Server, Load Balancing, Docker, Cloud (AWS/Azure) là vương quốc của DevOps. So với FE hay BA, nó là khoảng cách của trời và vực (điểm 9).
Tier 2 (Backend): Backend thiết kế kiến trúc Microservices nên phải hiểu rõ System. Tuy nhiên, vẫn thua DevOps một bậc (Backend = 0.5 DevOps).
Đáy: BA, FE, Mobile gần như "mù tịt" về cấu hình server vật lý hay mạng bảo mật.
</t>
      </text>
    </comment>
    <comment ref="K43" authorId="3" shapeId="0" xr:uid="{B225B483-23AB-48CC-997B-7DD2E9C3E457}">
      <text>
        <t xml:space="preserve">[Threaded comment]
Your version of Excel allows you to read this threaded comment; however, any edits to it will get removed if the file is opened in a newer version of Excel. Learn more: https://go.microsoft.com/fwlink/?linkid=870924
Comment:
    (Tier 1 - BA &amp; Tester): BA là người làm ra quy trình dự án (Agile/Scrum). Tester là người soi lỗi, ép Dev phải tuân thủ quy trình chất lượng (QA). Hai vai trò này ngang nhau (1) và cực kỳ quan trọng về quy trình.
Tier 2 (DevOps): Đảm bảo luồng quy trình CI/CD (Continuous Integration / Continuous Deployment) chạy mượt mà không bị lỗi.
Đáy (Dev/AI/Data): Kỹ sư thường rất lười làm tài liệu và hay muốn "vượt rào" quy trình để code cho nhanh. Do đó, điểm Process của họ cực kỳ thấp so với BA.
</t>
      </text>
    </comment>
    <comment ref="A55" authorId="4" shapeId="0" xr:uid="{35F878A5-EB4A-4BF6-BEDF-29D67FE5B403}">
      <text>
        <t xml:space="preserve">[Threaded comment]
Your version of Excel allows you to read this threaded comment; however, any edits to it will get removed if the file is opened in a newer version of Excel. Learn more: https://go.microsoft.com/fwlink/?linkid=870924
Comment:
    (Tier 1 - BA &amp; DA): Làm app ngân hàng thì phải biết nghiệp vụ ngân hàng. BA là người đi nói chuyện với khách hàng nên hiểu rõ nhất. DA thì phân tích dữ liệu kinh doanh nên cũng nắm sát sườn. Hai vị trí này quan trọng nhất.
Tier 2 (Tester): Cần hiểu nghiệp vụ (Domain) để viết các Use Case / Test Case cho đúng thực tế.
Đáy (Dev/AI/DevOps): Chỗ này em lưu ý quy luật đánh đổi: Coder giỏi thường ít quan tâm đến kinh doanh. Họ chỉ quan tâm tới công nghệ (Tech Stack). Do đó điểm Domain của DevOps và Dev lõi thường rất thấp.
</t>
      </text>
    </comment>
    <comment ref="L69" authorId="5" shapeId="0" xr:uid="{AD0AED09-B56E-482F-9EA8-F20767035E24}">
      <text>
        <t xml:space="preserve">[Threaded comment]
Your version of Excel allows you to read this threaded comment; however, any edits to it will get removed if the file is opened in a newer version of Excel. Learn more: https://go.microsoft.com/fwlink/?linkid=870924
Comment:
    (Tier 1 - AI &amp; DA): Em không thể làm AI hay Data nếu không giỏi Đại số tuyến tính, Xác suất thống kê và Ma trận. Đây là "hơi thở" của 2 vị trí này. AI và DA ngang nhau (1). AI áp đảo hoàn toàn FE (điểm 9).
Tier 2 (Backend &amp; DevOps): Backend cần hiểu cấu trúc dữ liệu tốt để thiết kế Database. DevOps cần xử lý logs và metric data.
Đáy: Frontend, Mobile chỉ lấy dữ liệu đã xử lý sẵn hiển thị lên. Không cần tính toán nhiều.
</t>
      </text>
    </comment>
    <comment ref="A84" authorId="6" shapeId="0" xr:uid="{08B263D1-C99B-4504-8E67-F9D99F274533}">
      <text>
        <t xml:space="preserve">[Threaded comment]
Your version of Excel allows you to read this threaded comment; however, any edits to it will get removed if the file is opened in a newer version of Excel. Learn more: https://go.microsoft.com/fwlink/?linkid=870924
Comment:
    (Tier 1 - DevOps): Hệ thống, Server, Load Balancing, Docker, Cloud (AWS/Azure) là vương quốc của DevOps. So với FE hay BA, nó là khoảng cách của trời và vực (điểm 9).
Tier 2 (Backend): Backend thiết kế kiến trúc Microservices nên phải hiểu rõ System. Tuy nhiên, vẫn thua DevOps một bậc (Backend = 0.5 DevOps).
Đáy: BA, FE, Mobile gần như "mù tịt" về cấu hình server vật lý hay mạng bảo mật.
</t>
      </text>
    </comment>
    <comment ref="L84" authorId="7" shapeId="0" xr:uid="{622CF920-5F90-453A-B83E-2DD495761484}">
      <text>
        <t xml:space="preserve">[Threaded comment]
Your version of Excel allows you to read this threaded comment; however, any edits to it will get removed if the file is opened in a newer version of Excel. Learn more: https://go.microsoft.com/fwlink/?linkid=870924
Comment:
    (Tier 1 - BA &amp; Tester): BA là người làm ra quy trình dự án (Agile/Scrum). Tester là người soi lỗi, ép Dev phải tuân thủ quy trình chất lượng (QA). Hai vai trò này ngang nhau (1) và cực kỳ quan trọng về quy trình.
Tier 2 (DevOps): Đảm bảo luồng quy trình CI/CD (Continuous Integration / Continuous Deployment) chạy mượt mà không bị lỗi.
Đáy (Dev/AI/Data): Kỹ sư thường rất lười làm tài liệu và hay muốn "vượt rào" quy trình để code cho nhanh. Do đó, điểm Process của họ cực kỳ thấp so với BA.
</t>
      </text>
    </comment>
    <comment ref="A99" authorId="8" shapeId="0" xr:uid="{0520669A-47E3-4DBA-8359-AF10CD5E1A52}">
      <text>
        <t xml:space="preserve">[Threaded comment]
Your version of Excel allows you to read this threaded comment; however, any edits to it will get removed if the file is opened in a newer version of Excel. Learn more: https://go.microsoft.com/fwlink/?linkid=870924
Comment:
    (Tier 1 - BA &amp; DA): Làm app ngân hàng thì phải biết nghiệp vụ ngân hàng. BA là người đi nói chuyện với khách hàng nên hiểu rõ nhất. DA thì phân tích dữ liệu kinh doanh nên cũng nắm sát sườn. Hai vị trí này quan trọng nhất.
Tier 2 (Tester): Cần hiểu nghiệp vụ (Domain) để viết các Use Case / Test Case cho đúng thực tế.
Đáy (Dev/AI/DevOps): Chỗ này em lưu ý quy luật đánh đổi: Coder giỏi thường ít quan tâm đến kinh doanh. Họ chỉ quan tâm tới công nghệ (Tech Stack). Do đó điểm Domain của DevOps và Dev lõi thường rất thấp.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<sst xmlns="http://schemas.openxmlformats.org/spreadsheetml/2006/main" count="708" uniqueCount="98">
  <si>
    <t>Criteria</t>
  </si>
  <si>
    <t>1/5</t>
  </si>
  <si>
    <t>1/7</t>
  </si>
  <si>
    <t>1/3</t>
  </si>
  <si>
    <t>Tính tổng theo cột</t>
  </si>
  <si>
    <t>Tính tỷ số nhất quán CR (Consistency Rate)</t>
  </si>
  <si>
    <t>CI</t>
  </si>
  <si>
    <t>CR</t>
  </si>
  <si>
    <t>&lt;10%</t>
  </si>
  <si>
    <t>Tính trọng số cho các tiêu chí và xếp hạng</t>
  </si>
  <si>
    <t>Ma trân so sánh cặp cho các phương án theo từng tiêu chí</t>
  </si>
  <si>
    <t>Chuẩn hóa ma trận - trọng số PA</t>
  </si>
  <si>
    <t>Trọng số</t>
  </si>
  <si>
    <t>Trọng số PA</t>
  </si>
  <si>
    <t>Tính CR</t>
  </si>
  <si>
    <t>Tính vector nhất quán (Consistency vector)</t>
  </si>
  <si>
    <t>Tính điểm của các phương án (PA)</t>
  </si>
  <si>
    <t>Điểm số các PA = Trọng số các PA theo tiêu chí * Trọng số của tiêu chí</t>
  </si>
  <si>
    <t>Trọng số các PA theo các tiêu chí</t>
  </si>
  <si>
    <t>Trọng số của tiêu chí</t>
  </si>
  <si>
    <t>Tiêu chí</t>
  </si>
  <si>
    <t>Điểm số các PA</t>
  </si>
  <si>
    <t>Phương án</t>
  </si>
  <si>
    <t xml:space="preserve">Xây dựng ma trận so sánh cặp cho mỗi tiêu chí </t>
  </si>
  <si>
    <t>Tổng cột</t>
  </si>
  <si>
    <t>Trọng số tiêu chí</t>
  </si>
  <si>
    <t>Thứ hạng</t>
  </si>
  <si>
    <t>Lấy giá trị chia cho Tổng cột</t>
  </si>
  <si>
    <t>Trọng số tiêu chí là Trung bình hàng</t>
  </si>
  <si>
    <t>Tổng hàng</t>
  </si>
  <si>
    <t>Vecto nhất quán</t>
  </si>
  <si>
    <t>Lamda_max</t>
  </si>
  <si>
    <t>n</t>
  </si>
  <si>
    <t>CODE</t>
  </si>
  <si>
    <t>MATH</t>
  </si>
  <si>
    <t>Ma trận so sánh cặp của 4 phương án theo tiêu chí CODE</t>
  </si>
  <si>
    <t>Ma trận so sánh cặp của 4 phương án theo tiêu chí MATH</t>
  </si>
  <si>
    <t>SYS</t>
  </si>
  <si>
    <t>Ma trận so sánh cặp của 4 phương án theo tiêu chí SYS</t>
  </si>
  <si>
    <t>DOMAIN</t>
  </si>
  <si>
    <t>Ma trận so sánh cặp của 4 phương án theo tiêu chí DOMAIN</t>
  </si>
  <si>
    <t>CNPM</t>
  </si>
  <si>
    <t>THMT</t>
  </si>
  <si>
    <t>NET</t>
  </si>
  <si>
    <t>DS</t>
  </si>
  <si>
    <t>Phân tích AHP để đánh giá trọng số các tiêu chí lựa chọn chuyên ngành</t>
  </si>
  <si>
    <t>3</t>
  </si>
  <si>
    <t>7</t>
  </si>
  <si>
    <t>5</t>
  </si>
  <si>
    <t>1/9</t>
  </si>
  <si>
    <t>=&gt; Chọn CNPM</t>
  </si>
  <si>
    <t>1/2</t>
  </si>
  <si>
    <t>2</t>
  </si>
  <si>
    <t>1</t>
  </si>
  <si>
    <t>9</t>
  </si>
  <si>
    <t>Giả định có 1 sinh viên có bảng điểm: Code=9, Math=8, Sys=6, Domain=4.</t>
  </si>
  <si>
    <t>[C1] Coding</t>
  </si>
  <si>
    <t>[C2] Math/Data</t>
  </si>
  <si>
    <t>[C3] System</t>
  </si>
  <si>
    <t>[C4] Process</t>
  </si>
  <si>
    <t>[C5] Domain</t>
  </si>
  <si>
    <t>TỔNG CỘT</t>
  </si>
  <si>
    <t>Trọng số (Weight)</t>
  </si>
  <si>
    <t>TỔNG</t>
  </si>
  <si>
    <t>BẢNG 1.2: MA TRẬN CHUẨN HÓA VÀ TÍNH TRỌNG SỐ</t>
  </si>
  <si>
    <t>Chỉ số</t>
  </si>
  <si>
    <t>Giá trị</t>
  </si>
  <si>
    <t>Lambda Max</t>
  </si>
  <si>
    <t>RI (n=5)</t>
  </si>
  <si>
    <t>BẢNG 1.1: MA TRẬN SO SÁNH CẶP</t>
  </si>
  <si>
    <t>BẢNG 1.3: KIỂM TRA ĐỘ NHẤT QUÁN</t>
  </si>
  <si>
    <t>[A1] BE</t>
  </si>
  <si>
    <t>[A2] FE</t>
  </si>
  <si>
    <t>[A3] Mob</t>
  </si>
  <si>
    <t>[A4] DA</t>
  </si>
  <si>
    <t>[A5] AI</t>
  </si>
  <si>
    <t>[A6] Test</t>
  </si>
  <si>
    <t>[A7] BA</t>
  </si>
  <si>
    <t>[A8] Dev</t>
  </si>
  <si>
    <t>[A1] Backend</t>
  </si>
  <si>
    <t>[A2] Frontend</t>
  </si>
  <si>
    <t>[A3] Mobile</t>
  </si>
  <si>
    <t>[A4] Data Analyst</t>
  </si>
  <si>
    <t>[A5] AI Engineer</t>
  </si>
  <si>
    <t>[A6] Tester</t>
  </si>
  <si>
    <t>[A8] DevOps</t>
  </si>
  <si>
    <t>CODING</t>
  </si>
  <si>
    <t>MATH/DATA</t>
  </si>
  <si>
    <t>SYSTEM/NETWORK</t>
  </si>
  <si>
    <t>PROCESS/QA</t>
  </si>
  <si>
    <t>DOMAIN KNOWLEDGE</t>
  </si>
  <si>
    <t>BẢNG 2.1: MA TRẬN SO SÁNH CẶP</t>
  </si>
  <si>
    <t>RI (n=8)</t>
  </si>
  <si>
    <t>=&gt; Chọn AI Engineer</t>
  </si>
  <si>
    <t>Bảng 2.2. Ma trận Chuẩn hóa &amp; Trọng số</t>
  </si>
  <si>
    <t>BẢNG 3:TỔNG HỢP QUYẾT ĐỊNH</t>
  </si>
  <si>
    <r>
      <rPr>
        <b/>
        <sz val="12"/>
        <color theme="1"/>
        <rFont val="Times New Roman"/>
        <family val="1"/>
      </rPr>
      <t>1. Mục tiêu quyết định:</t>
    </r>
    <r>
      <rPr>
        <sz val="12"/>
        <color theme="1"/>
        <rFont val="Times New Roman"/>
        <family val="1"/>
      </rPr>
      <t xml:space="preserve">
Xác định vị trí công việc (Phương án) phù hợp nhất dựa trên yêu cầu năng lực của một doanh nghiệp công nghệ định hướng sản phẩm.
</t>
    </r>
    <r>
      <rPr>
        <b/>
        <sz val="12"/>
        <color theme="1"/>
        <rFont val="Times New Roman"/>
        <family val="1"/>
      </rPr>
      <t>2. Bối cảnh giả định:</t>
    </r>
    <r>
      <rPr>
        <sz val="12"/>
        <color theme="1"/>
        <rFont val="Times New Roman"/>
        <family val="1"/>
      </rPr>
      <t xml:space="preserve">
Doanh nghiệp đang cần tuyển nhân sự cho các dự án phát triển phần mềm phức tạp, yêu cầu cực cao về tư duy logic và kỹ thuật nền tảng.
Người ra quyết định (HR Manager/Tech Lead) đánh giá rằng: Kỹ năng Lập trình và Tư duy Toán học là yếu tố sống còn, trong khi kiến thức nghiệp vụ có thể đào tạo thêm sau khi vào làm.
</t>
    </r>
    <r>
      <rPr>
        <b/>
        <sz val="12"/>
        <color theme="1"/>
        <rFont val="Times New Roman"/>
        <family val="1"/>
      </rPr>
      <t>3. Hệ thống tiêu chí:</t>
    </r>
    <r>
      <rPr>
        <sz val="12"/>
        <color theme="1"/>
        <rFont val="Times New Roman"/>
        <family val="1"/>
      </rPr>
      <t xml:space="preserve">
Để đánh giá các vị trí, chúng ta sử dụng 5 tiêu chí với mức độ ưu tiên như sau:
[C1] Coding &amp; [C2] Math/Data: Hai tiêu chí này quan trọng ngang nhau và là quan trọng nhất (Moderate to Strong Importance).
[C3] System/Network: Quan trọng ở mức trung bình, hỗ trợ cho việc triển khai hệ thống.
[C4] Process/QA: Quan trọng thấp, chủ yếu phục vụ quản lý quy trình.
[C5] Domain Knowledge: Ít quan trọng nhất trong giai đoạn tuyển dụng kỹ thuật này.
</t>
    </r>
  </si>
  <si>
    <r>
      <rPr>
        <b/>
        <sz val="12"/>
        <color theme="1"/>
        <rFont val="Times New Roman"/>
        <family val="1"/>
      </rPr>
      <t>4. Danh sách các phương án:</t>
    </r>
    <r>
      <rPr>
        <sz val="12"/>
        <color theme="1"/>
        <rFont val="Times New Roman"/>
        <family val="1"/>
      </rPr>
      <t xml:space="preserve">
Mô hình sẽ đánh giá độ phù hợp của 8 vị trí công việc đặc thù trong ngành IT, bao gồm:
[A1] Backend: Lập trình xử lý phía máy chủ.
[A2] Frontend: Lập trình giao diện người dùng.
[A3] Mobile: Lập trình ứng dụng di động.
[A4] Data Analyst: Phân tích dữ liệu kinh doanh.
[A5] AI Engineer: Kỹ sư trí tuệ nhân tạo.
[A6] Tester: Kiểm thử phần mềm.
[A7] BA (Business Analyst): Phân tích nghiệp vụ.
[A8] DevOps: Quản trị vận hành và triển khai hệ thống.
</t>
    </r>
    <r>
      <rPr>
        <b/>
        <sz val="12"/>
        <color theme="1"/>
        <rFont val="Times New Roman"/>
        <family val="1"/>
      </rPr>
      <t>5. Kết quả kỳ vọng:</t>
    </r>
    <r>
      <rPr>
        <sz val="12"/>
        <color theme="1"/>
        <rFont val="Times New Roman"/>
        <family val="1"/>
      </rPr>
      <t xml:space="preserve">
Hệ thống sẽ chỉ ra ứng viên nào có năng lực khớp nhất với trọng số tiêu chí đã đặt ra. Với giả định ưu tiên Kỹ thuật (Code/Toán), các vị trí như AI Engineer hoặc Backend dự kiến sẽ có tổng điểm cao nhất.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</si>
</sst>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1" x14ac:knownFonts="1">
    <font>
      <sz val="11"/>
      <color theme="1"/>
      <name val="Calibri"/>
      <family val="2"/>
      <scheme val="minor"/>
    </font>
    <font>
      <sz val="13"/>
      <color rgb="FFFF0000"/>
      <name val="Times New Roman"/>
      <family val="1"/>
    </font>
    <font>
      <sz val="13"/>
      <color theme="1"/>
      <name val="Times New Roman"/>
      <family val="1"/>
    </font>
    <font>
      <b/>
      <sz val="13"/>
      <color theme="1"/>
      <name val="Times New Roman"/>
      <family val="1"/>
    </font>
    <font>
      <b/>
      <sz val="13"/>
      <color rgb="FFFF0000"/>
      <name val="Times New Roman"/>
      <family val="1"/>
    </font>
    <font>
      <sz val="12"/>
      <color theme="1"/>
      <name val="Times New Roman"/>
      <family val="1"/>
    </font>
    <font>
      <b/>
      <sz val="16"/>
      <color rgb="FFFF0000"/>
      <name val="Times New Roman"/>
      <family val="1"/>
    </font>
    <font>
      <b/>
      <sz val="18"/>
      <color rgb="FFFF0000"/>
      <name val="Times New Roman"/>
      <family val="1"/>
    </font>
    <font>
      <b/>
      <sz val="20"/>
      <color rgb="FFFF0000"/>
      <name val="Times New Roman"/>
      <family val="1"/>
    </font>
    <font>
      <sz val="11"/>
      <color theme="1"/>
      <name val="Times New Roman"/>
      <family val="1"/>
    </font>
    <font>
      <b/>
      <sz val="12"/>
      <color theme="1"/>
      <name val="Times New Roman"/>
      <family val="1"/>
    </font>
  </fonts>
  <fills count="17">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theme="7"/>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249977111117893"/>
        <bgColor indexed="64"/>
      </patternFill>
    </fill>
    <fill>
      <patternFill patternType="solid">
        <fgColor rgb="FF00B0F0"/>
        <bgColor indexed="64"/>
      </patternFill>
    </fill>
    <fill>
      <patternFill patternType="solid">
        <fgColor theme="7" tint="0.59999389629810485"/>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84">
    <xf numFmtId="0" fontId="0" fillId="0" borderId="0" xfId="0"/>
    <xf numFmtId="0" fontId="1" fillId="0" borderId="0" xfId="0" applyFont="1"/>
    <xf numFmtId="0" fontId="2" fillId="0" borderId="0" xfId="0" applyFont="1"/>
    <xf numFmtId="0" fontId="2" fillId="0" borderId="1" xfId="0" applyFont="1" applyBorder="1" applyAlignment="1">
      <alignment horizont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3" fillId="9" borderId="1" xfId="0" applyFont="1" applyFill="1" applyBorder="1" applyAlignment="1">
      <alignment horizontal="center" vertical="center"/>
    </xf>
    <xf numFmtId="0" fontId="3" fillId="0" borderId="0" xfId="0" applyFont="1"/>
    <xf numFmtId="0" fontId="4" fillId="0" borderId="0" xfId="0" applyFont="1"/>
    <xf numFmtId="0" fontId="2" fillId="0" borderId="0" xfId="0" applyFont="1" applyAlignment="1">
      <alignment horizontal="center"/>
    </xf>
    <xf numFmtId="0" fontId="3" fillId="9" borderId="1" xfId="0" applyFont="1" applyFill="1" applyBorder="1"/>
    <xf numFmtId="0" fontId="2" fillId="10" borderId="1" xfId="0" applyFont="1" applyFill="1" applyBorder="1" applyAlignment="1">
      <alignment horizontal="center"/>
    </xf>
    <xf numFmtId="0" fontId="3" fillId="9" borderId="1" xfId="0" applyFont="1" applyFill="1" applyBorder="1" applyAlignment="1">
      <alignment horizontal="center"/>
    </xf>
    <xf numFmtId="0" fontId="3" fillId="4" borderId="1" xfId="0" applyFont="1" applyFill="1" applyBorder="1"/>
    <xf numFmtId="0" fontId="2" fillId="4" borderId="1" xfId="0" applyFont="1" applyFill="1" applyBorder="1" applyAlignment="1">
      <alignment horizontal="center"/>
    </xf>
    <xf numFmtId="0" fontId="2" fillId="9" borderId="1" xfId="0" applyFont="1" applyFill="1" applyBorder="1" applyAlignment="1">
      <alignment horizontal="center"/>
    </xf>
    <xf numFmtId="0" fontId="2" fillId="11" borderId="1" xfId="0" applyFont="1" applyFill="1" applyBorder="1" applyAlignment="1">
      <alignment horizontal="center" vertical="center"/>
    </xf>
    <xf numFmtId="0" fontId="2" fillId="12" borderId="1" xfId="0" applyFont="1" applyFill="1" applyBorder="1" applyAlignment="1">
      <alignment horizontal="center"/>
    </xf>
    <xf numFmtId="0" fontId="2" fillId="12" borderId="1" xfId="0" applyFont="1" applyFill="1" applyBorder="1" applyAlignment="1">
      <alignment horizontal="center" vertical="center"/>
    </xf>
    <xf numFmtId="0" fontId="3" fillId="0" borderId="0" xfId="0" applyFont="1" applyAlignment="1">
      <alignment vertical="center"/>
    </xf>
    <xf numFmtId="0" fontId="2" fillId="2" borderId="1" xfId="0" applyFont="1" applyFill="1" applyBorder="1" applyAlignment="1">
      <alignment horizontal="center" vertical="center"/>
    </xf>
    <xf numFmtId="0" fontId="2" fillId="0" borderId="0" xfId="0" applyFont="1" applyAlignment="1">
      <alignment wrapText="1"/>
    </xf>
    <xf numFmtId="0" fontId="2" fillId="3" borderId="1" xfId="0" applyFont="1" applyFill="1" applyBorder="1" applyAlignment="1">
      <alignment horizontal="center" vertical="center"/>
    </xf>
    <xf numFmtId="0" fontId="2"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0" xfId="0" applyFont="1" applyAlignment="1">
      <alignment horizontal="center" vertical="center"/>
    </xf>
    <xf numFmtId="0" fontId="2" fillId="13" borderId="1" xfId="0" applyFont="1" applyFill="1" applyBorder="1" applyAlignment="1">
      <alignment horizontal="center" wrapText="1"/>
    </xf>
    <xf numFmtId="0" fontId="2" fillId="5" borderId="0" xfId="0" applyFont="1" applyFill="1" applyAlignment="1">
      <alignment horizontal="center" vertical="center" wrapText="1"/>
    </xf>
    <xf numFmtId="0" fontId="2" fillId="5" borderId="0" xfId="0" applyFont="1" applyFill="1" applyAlignment="1">
      <alignment horizontal="center" wrapText="1"/>
    </xf>
    <xf numFmtId="0" fontId="2" fillId="5" borderId="0" xfId="0" applyFont="1" applyFill="1" applyAlignment="1">
      <alignment horizontal="center" vertical="center"/>
    </xf>
    <xf numFmtId="0" fontId="3" fillId="5" borderId="0" xfId="0" applyFont="1" applyFill="1"/>
    <xf numFmtId="0" fontId="2" fillId="5" borderId="0" xfId="0" applyFont="1" applyFill="1"/>
    <xf numFmtId="0" fontId="2" fillId="5" borderId="0" xfId="0" applyFont="1" applyFill="1" applyAlignment="1">
      <alignment horizontal="center"/>
    </xf>
    <xf numFmtId="0" fontId="3" fillId="11"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12" borderId="1" xfId="0" applyFont="1" applyFill="1" applyBorder="1" applyAlignment="1">
      <alignment horizontal="center" wrapText="1"/>
    </xf>
    <xf numFmtId="0" fontId="3" fillId="3" borderId="1" xfId="0" applyFont="1" applyFill="1" applyBorder="1" applyAlignment="1">
      <alignment horizontal="center" vertical="center" wrapText="1"/>
    </xf>
    <xf numFmtId="0" fontId="3" fillId="13" borderId="1" xfId="0" applyFont="1" applyFill="1" applyBorder="1" applyAlignment="1">
      <alignment horizontal="center" wrapText="1"/>
    </xf>
    <xf numFmtId="2" fontId="2" fillId="0" borderId="1" xfId="0" applyNumberFormat="1" applyFont="1" applyBorder="1" applyAlignment="1">
      <alignment horizontal="center" vertical="center"/>
    </xf>
    <xf numFmtId="49" fontId="2" fillId="0" borderId="1" xfId="0" applyNumberFormat="1" applyFont="1" applyBorder="1" applyAlignment="1">
      <alignment horizontal="center"/>
    </xf>
    <xf numFmtId="49" fontId="2" fillId="10" borderId="1" xfId="0" applyNumberFormat="1" applyFont="1" applyFill="1" applyBorder="1" applyAlignment="1">
      <alignment horizontal="center"/>
    </xf>
    <xf numFmtId="0" fontId="3" fillId="0" borderId="0" xfId="0" applyFont="1" applyAlignment="1">
      <alignment horizontal="center" vertical="center"/>
    </xf>
    <xf numFmtId="0" fontId="3" fillId="0" borderId="1" xfId="0" applyFont="1" applyBorder="1" applyAlignment="1">
      <alignment horizontal="center"/>
    </xf>
    <xf numFmtId="0" fontId="2" fillId="3" borderId="1" xfId="0" applyFont="1" applyFill="1" applyBorder="1" applyAlignment="1">
      <alignment horizontal="center"/>
    </xf>
    <xf numFmtId="49" fontId="2" fillId="3"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49" fontId="2" fillId="3" borderId="1" xfId="0" applyNumberFormat="1" applyFont="1" applyFill="1" applyBorder="1" applyAlignment="1">
      <alignment horizontal="center"/>
    </xf>
    <xf numFmtId="49" fontId="3" fillId="2" borderId="1" xfId="0" applyNumberFormat="1" applyFont="1" applyFill="1" applyBorder="1" applyAlignment="1">
      <alignment horizontal="center" vertical="center"/>
    </xf>
    <xf numFmtId="49" fontId="3" fillId="5" borderId="1" xfId="0" applyNumberFormat="1" applyFont="1" applyFill="1" applyBorder="1" applyAlignment="1">
      <alignment horizontal="center" vertical="center"/>
    </xf>
    <xf numFmtId="49" fontId="3" fillId="0" borderId="1" xfId="0" applyNumberFormat="1" applyFont="1" applyBorder="1" applyAlignment="1">
      <alignment horizontal="center"/>
    </xf>
    <xf numFmtId="49" fontId="2" fillId="0" borderId="0" xfId="0" applyNumberFormat="1" applyFont="1" applyAlignment="1">
      <alignment horizontal="center"/>
    </xf>
    <xf numFmtId="49" fontId="2" fillId="0" borderId="0" xfId="0" applyNumberFormat="1" applyFont="1"/>
    <xf numFmtId="164" fontId="2" fillId="0" borderId="1" xfId="0" applyNumberFormat="1" applyFont="1" applyBorder="1" applyAlignment="1">
      <alignment horizontal="center" vertical="center"/>
    </xf>
    <xf numFmtId="165" fontId="2" fillId="8"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16"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9" fillId="0" borderId="0" xfId="0" applyFont="1" applyAlignment="1">
      <alignment vertical="center" wrapText="1"/>
    </xf>
    <xf numFmtId="0" fontId="5" fillId="5" borderId="0" xfId="0" applyFont="1" applyFill="1" applyAlignment="1">
      <alignment horizontal="center" vertical="center" wrapText="1"/>
    </xf>
    <xf numFmtId="164" fontId="5" fillId="0" borderId="1" xfId="0" applyNumberFormat="1" applyFont="1" applyBorder="1" applyAlignment="1">
      <alignment horizontal="center" vertical="center" wrapText="1"/>
    </xf>
    <xf numFmtId="164" fontId="5" fillId="3" borderId="1" xfId="0" applyNumberFormat="1"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14" borderId="2" xfId="0" applyFont="1" applyFill="1" applyBorder="1" applyAlignment="1">
      <alignment horizontal="center" vertical="center" wrapText="1"/>
    </xf>
    <xf numFmtId="0" fontId="2" fillId="0" borderId="0" xfId="0" applyFont="1" applyAlignment="1">
      <alignment vertical="center"/>
    </xf>
    <xf numFmtId="164" fontId="5" fillId="5" borderId="1" xfId="0" applyNumberFormat="1" applyFont="1" applyFill="1" applyBorder="1" applyAlignment="1">
      <alignment horizontal="center" vertical="center" wrapText="1"/>
    </xf>
    <xf numFmtId="0" fontId="7" fillId="0" borderId="0" xfId="0" applyFont="1" applyAlignment="1">
      <alignment horizontal="center" vertical="center" wrapText="1"/>
    </xf>
    <xf numFmtId="0" fontId="3" fillId="7" borderId="0" xfId="0" quotePrefix="1" applyFont="1" applyFill="1" applyAlignment="1">
      <alignment horizontal="center" vertical="center"/>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3" fillId="7" borderId="0" xfId="0" quotePrefix="1" applyFont="1" applyFill="1" applyAlignment="1">
      <alignment horizontal="center"/>
    </xf>
    <xf numFmtId="0" fontId="2" fillId="14" borderId="0" xfId="0" applyFont="1" applyFill="1" applyAlignment="1">
      <alignment vertical="center" wrapText="1"/>
    </xf>
    <xf numFmtId="0" fontId="5" fillId="9"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A88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753036</xdr:colOff>
      <xdr:row>21</xdr:row>
      <xdr:rowOff>26894</xdr:rowOff>
    </xdr:from>
    <xdr:to>
      <xdr:col>13</xdr:col>
      <xdr:colOff>366476</xdr:colOff>
      <xdr:row>25</xdr:row>
      <xdr:rowOff>185185</xdr:rowOff>
    </xdr:to>
    <xdr:pic>
      <xdr:nvPicPr>
        <xdr:cNvPr id="2" name="Picture 1">
          <a:extLst>
            <a:ext uri="{FF2B5EF4-FFF2-40B4-BE49-F238E27FC236}">
              <a16:creationId xmlns:a16="http://schemas.microsoft.com/office/drawing/2014/main" id="{C4DFAA74-BEFA-4C0F-90D9-B4617D692E3F}"/>
            </a:ext>
          </a:extLst>
        </xdr:cNvPr>
        <xdr:cNvPicPr>
          <a:picLocks noChangeAspect="1"/>
        </xdr:cNvPicPr>
      </xdr:nvPicPr>
      <xdr:blipFill>
        <a:blip xmlns:r="http://schemas.openxmlformats.org/officeDocument/2006/relationships" r:embed="rId1"/>
        <a:stretch>
          <a:fillRect/>
        </a:stretch>
      </xdr:blipFill>
      <xdr:spPr>
        <a:xfrm>
          <a:off x="4616824" y="5862918"/>
          <a:ext cx="6803134" cy="947185"/>
        </a:xfrm>
        <a:prstGeom prst="rect">
          <a:avLst/>
        </a:prstGeom>
      </xdr:spPr>
    </xdr:pic>
    <xdr:clientData/>
  </xdr:twoCellAnchor>
  <xdr:twoCellAnchor editAs="oneCell">
    <xdr:from>
      <xdr:col>8</xdr:col>
      <xdr:colOff>8965</xdr:colOff>
      <xdr:row>12</xdr:row>
      <xdr:rowOff>35859</xdr:rowOff>
    </xdr:from>
    <xdr:to>
      <xdr:col>11</xdr:col>
      <xdr:colOff>463491</xdr:colOff>
      <xdr:row>16</xdr:row>
      <xdr:rowOff>128933</xdr:rowOff>
    </xdr:to>
    <xdr:pic>
      <xdr:nvPicPr>
        <xdr:cNvPr id="3" name="Picture 2">
          <a:extLst>
            <a:ext uri="{FF2B5EF4-FFF2-40B4-BE49-F238E27FC236}">
              <a16:creationId xmlns:a16="http://schemas.microsoft.com/office/drawing/2014/main" id="{116A605D-14EF-45EF-9C5B-38CFBE2FB355}"/>
            </a:ext>
          </a:extLst>
        </xdr:cNvPr>
        <xdr:cNvPicPr>
          <a:picLocks noChangeAspect="1"/>
        </xdr:cNvPicPr>
      </xdr:nvPicPr>
      <xdr:blipFill>
        <a:blip xmlns:r="http://schemas.openxmlformats.org/officeDocument/2006/relationships" r:embed="rId2"/>
        <a:stretch>
          <a:fillRect/>
        </a:stretch>
      </xdr:blipFill>
      <xdr:spPr>
        <a:xfrm>
          <a:off x="6920753" y="3505200"/>
          <a:ext cx="2713632" cy="1079192"/>
        </a:xfrm>
        <a:prstGeom prst="rect">
          <a:avLst/>
        </a:prstGeom>
      </xdr:spPr>
    </xdr:pic>
    <xdr:clientData/>
  </xdr:twoCellAnchor>
  <xdr:twoCellAnchor editAs="oneCell">
    <xdr:from>
      <xdr:col>8</xdr:col>
      <xdr:colOff>564777</xdr:colOff>
      <xdr:row>17</xdr:row>
      <xdr:rowOff>44678</xdr:rowOff>
    </xdr:from>
    <xdr:to>
      <xdr:col>11</xdr:col>
      <xdr:colOff>80682</xdr:colOff>
      <xdr:row>20</xdr:row>
      <xdr:rowOff>184280</xdr:rowOff>
    </xdr:to>
    <xdr:pic>
      <xdr:nvPicPr>
        <xdr:cNvPr id="4" name="Picture 3">
          <a:extLst>
            <a:ext uri="{FF2B5EF4-FFF2-40B4-BE49-F238E27FC236}">
              <a16:creationId xmlns:a16="http://schemas.microsoft.com/office/drawing/2014/main" id="{B7DFF178-DB76-4EB8-8084-C6DC13AFD98A}"/>
            </a:ext>
          </a:extLst>
        </xdr:cNvPr>
        <xdr:cNvPicPr>
          <a:picLocks noChangeAspect="1"/>
        </xdr:cNvPicPr>
      </xdr:nvPicPr>
      <xdr:blipFill>
        <a:blip xmlns:r="http://schemas.openxmlformats.org/officeDocument/2006/relationships" r:embed="rId3"/>
        <a:stretch>
          <a:fillRect/>
        </a:stretch>
      </xdr:blipFill>
      <xdr:spPr>
        <a:xfrm>
          <a:off x="7476565" y="4697360"/>
          <a:ext cx="1775011" cy="731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41</xdr:row>
      <xdr:rowOff>57150</xdr:rowOff>
    </xdr:from>
    <xdr:to>
      <xdr:col>4</xdr:col>
      <xdr:colOff>381368</xdr:colOff>
      <xdr:row>46</xdr:row>
      <xdr:rowOff>47770</xdr:rowOff>
    </xdr:to>
    <xdr:pic>
      <xdr:nvPicPr>
        <xdr:cNvPr id="132" name="Picture 131">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
        <a:stretch>
          <a:fillRect/>
        </a:stretch>
      </xdr:blipFill>
      <xdr:spPr>
        <a:xfrm>
          <a:off x="609600" y="9486900"/>
          <a:ext cx="2638793" cy="1038370"/>
        </a:xfrm>
        <a:prstGeom prst="rect">
          <a:avLst/>
        </a:prstGeom>
      </xdr:spPr>
    </xdr:pic>
    <xdr:clientData/>
  </xdr:twoCellAnchor>
  <xdr:twoCellAnchor editAs="oneCell">
    <xdr:from>
      <xdr:col>1</xdr:col>
      <xdr:colOff>0</xdr:colOff>
      <xdr:row>46</xdr:row>
      <xdr:rowOff>114300</xdr:rowOff>
    </xdr:from>
    <xdr:to>
      <xdr:col>3</xdr:col>
      <xdr:colOff>238376</xdr:colOff>
      <xdr:row>50</xdr:row>
      <xdr:rowOff>9627</xdr:rowOff>
    </xdr:to>
    <xdr:pic>
      <xdr:nvPicPr>
        <xdr:cNvPr id="133" name="Picture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2"/>
        <a:stretch>
          <a:fillRect/>
        </a:stretch>
      </xdr:blipFill>
      <xdr:spPr>
        <a:xfrm>
          <a:off x="609600" y="10801350"/>
          <a:ext cx="1800476" cy="733527"/>
        </a:xfrm>
        <a:prstGeom prst="rect">
          <a:avLst/>
        </a:prstGeom>
      </xdr:spPr>
    </xdr:pic>
    <xdr:clientData/>
  </xdr:twoCellAnchor>
  <xdr:twoCellAnchor editAs="oneCell">
    <xdr:from>
      <xdr:col>7</xdr:col>
      <xdr:colOff>619125</xdr:colOff>
      <xdr:row>44</xdr:row>
      <xdr:rowOff>95250</xdr:rowOff>
    </xdr:from>
    <xdr:to>
      <xdr:col>16</xdr:col>
      <xdr:colOff>524798</xdr:colOff>
      <xdr:row>48</xdr:row>
      <xdr:rowOff>171578</xdr:rowOff>
    </xdr:to>
    <xdr:pic>
      <xdr:nvPicPr>
        <xdr:cNvPr id="134" name="Picture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3"/>
        <a:stretch>
          <a:fillRect/>
        </a:stretch>
      </xdr:blipFill>
      <xdr:spPr>
        <a:xfrm>
          <a:off x="5619750" y="10153650"/>
          <a:ext cx="6611273" cy="914528"/>
        </a:xfrm>
        <a:prstGeom prst="rect">
          <a:avLst/>
        </a:prstGeom>
      </xdr:spPr>
    </xdr:pic>
    <xdr:clientData/>
  </xdr:twoCellAnchor>
  <xdr:twoCellAnchor editAs="oneCell">
    <xdr:from>
      <xdr:col>5</xdr:col>
      <xdr:colOff>457200</xdr:colOff>
      <xdr:row>98</xdr:row>
      <xdr:rowOff>104775</xdr:rowOff>
    </xdr:from>
    <xdr:to>
      <xdr:col>9</xdr:col>
      <xdr:colOff>57518</xdr:colOff>
      <xdr:row>103</xdr:row>
      <xdr:rowOff>95395</xdr:rowOff>
    </xdr:to>
    <xdr:pic>
      <xdr:nvPicPr>
        <xdr:cNvPr id="141" name="Picture 140">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1"/>
        <a:stretch>
          <a:fillRect/>
        </a:stretch>
      </xdr:blipFill>
      <xdr:spPr>
        <a:xfrm>
          <a:off x="3162300" y="22631400"/>
          <a:ext cx="2638793" cy="1038370"/>
        </a:xfrm>
        <a:prstGeom prst="rect">
          <a:avLst/>
        </a:prstGeom>
      </xdr:spPr>
    </xdr:pic>
    <xdr:clientData/>
  </xdr:twoCellAnchor>
  <xdr:twoCellAnchor editAs="oneCell">
    <xdr:from>
      <xdr:col>5</xdr:col>
      <xdr:colOff>762001</xdr:colOff>
      <xdr:row>104</xdr:row>
      <xdr:rowOff>61232</xdr:rowOff>
    </xdr:from>
    <xdr:to>
      <xdr:col>8</xdr:col>
      <xdr:colOff>217966</xdr:colOff>
      <xdr:row>107</xdr:row>
      <xdr:rowOff>166109</xdr:rowOff>
    </xdr:to>
    <xdr:pic>
      <xdr:nvPicPr>
        <xdr:cNvPr id="142" name="Picture 141">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2"/>
        <a:stretch>
          <a:fillRect/>
        </a:stretch>
      </xdr:blipFill>
      <xdr:spPr>
        <a:xfrm>
          <a:off x="4419601" y="24173089"/>
          <a:ext cx="1839936" cy="758020"/>
        </a:xfrm>
        <a:prstGeom prst="rect">
          <a:avLst/>
        </a:prstGeom>
      </xdr:spPr>
    </xdr:pic>
    <xdr:clientData/>
  </xdr:twoCellAnchor>
  <xdr:twoCellAnchor editAs="oneCell">
    <xdr:from>
      <xdr:col>3</xdr:col>
      <xdr:colOff>476250</xdr:colOff>
      <xdr:row>108</xdr:row>
      <xdr:rowOff>66675</xdr:rowOff>
    </xdr:from>
    <xdr:to>
      <xdr:col>12</xdr:col>
      <xdr:colOff>410498</xdr:colOff>
      <xdr:row>112</xdr:row>
      <xdr:rowOff>143003</xdr:rowOff>
    </xdr:to>
    <xdr:pic>
      <xdr:nvPicPr>
        <xdr:cNvPr id="143" name="Picture 142">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3"/>
        <a:stretch>
          <a:fillRect/>
        </a:stretch>
      </xdr:blipFill>
      <xdr:spPr>
        <a:xfrm>
          <a:off x="1876425" y="24498300"/>
          <a:ext cx="6611273" cy="914528"/>
        </a:xfrm>
        <a:prstGeom prst="rect">
          <a:avLst/>
        </a:prstGeom>
      </xdr:spPr>
    </xdr:pic>
    <xdr:clientData/>
  </xdr:twoCellAnchor>
  <xdr:twoCellAnchor editAs="oneCell">
    <xdr:from>
      <xdr:col>7</xdr:col>
      <xdr:colOff>761999</xdr:colOff>
      <xdr:row>0</xdr:row>
      <xdr:rowOff>9526</xdr:rowOff>
    </xdr:from>
    <xdr:to>
      <xdr:col>15</xdr:col>
      <xdr:colOff>0</xdr:colOff>
      <xdr:row>8</xdr:row>
      <xdr:rowOff>208378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a:stretch>
          <a:fillRect/>
        </a:stretch>
      </xdr:blipFill>
      <xdr:spPr>
        <a:xfrm>
          <a:off x="5876924" y="9526"/>
          <a:ext cx="5229226" cy="187525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thro Nguyen" id="{FD9DDC2D-CD2D-4F23-8A7C-992FD40B016E}" userId="S::Jethro@idb.com.vn::45dec53f-7e06-401e-9ccb-ab6b30f8c92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0" dT="2026-02-14T02:50:20.72" personId="{FD9DDC2D-CD2D-4F23-8A7C-992FD40B016E}" id="{D4A56FF0-3EBD-4D1A-8ACE-F058ADF4269C}">
    <text xml:space="preserve">(Tier 1 - AI &amp; Backend): Đây là hai vị trí phải viết những logic thuật toán phức tạp nhất, tối ưu bộ nhớ và hiệu năng hệ thống liên tục. Chấm chúng quan trọng nhất (điểm 9 so với BA).
Tier 2 (DevOps): Phải viết script (Python, Bash, Go) để tự động hóa hạ tầng cực nhiều, độ khó code đôi khi cao hơn cả làm giao diện.
Tier 3 (FE/Mobile): Chủ yếu code UI/UX và gọi API. Logic không sâu bằng Backend.
Đáy (BA &amp; Tester): BA chỉ viết tài liệu (viết code = 0). Tester có thể viết code Automation nhưng mức độ cơ bản.
</text>
  </threadedComment>
  <threadedComment ref="K30" dT="2026-02-14T02:52:03.64" personId="{FD9DDC2D-CD2D-4F23-8A7C-992FD40B016E}" id="{307CE836-FD36-489B-A9CB-0E4D2F730B38}">
    <text xml:space="preserve">(Tier 1 - AI &amp; DA): Em không thể làm AI hay Data nếu không giỏi Đại số tuyến tính, Xác suất thống kê và Ma trận. Đây là "hơi thở" của 2 vị trí này. AI và DA ngang nhau (1). AI áp đảo hoàn toàn FE (điểm 9).
Tier 2 (Backend &amp; DevOps): Backend cần hiểu cấu trúc dữ liệu tốt để thiết kế Database. DevOps cần xử lý logs và metric data.
Đáy: Frontend, Mobile chỉ lấy dữ liệu đã xử lý sẵn hiển thị lên. Không cần tính toán nhiều.
</text>
  </threadedComment>
  <threadedComment ref="A43" dT="2026-02-14T02:53:19.83" personId="{FD9DDC2D-CD2D-4F23-8A7C-992FD40B016E}" id="{24866E38-49BC-436D-BBF1-2A7D6B993635}">
    <text xml:space="preserve">(Tier 1 - DevOps): Hệ thống, Server, Load Balancing, Docker, Cloud (AWS/Azure) là vương quốc của DevOps. So với FE hay BA, nó là khoảng cách của trời và vực (điểm 9).
Tier 2 (Backend): Backend thiết kế kiến trúc Microservices nên phải hiểu rõ System. Tuy nhiên, vẫn thua DevOps một bậc (Backend = 0.5 DevOps).
Đáy: BA, FE, Mobile gần như "mù tịt" về cấu hình server vật lý hay mạng bảo mật.
</text>
  </threadedComment>
  <threadedComment ref="K43" dT="2026-02-14T02:54:22.60" personId="{FD9DDC2D-CD2D-4F23-8A7C-992FD40B016E}" id="{B225B483-23AB-48CC-997B-7DD2E9C3E457}">
    <text xml:space="preserve">(Tier 1 - BA &amp; Tester): BA là người làm ra quy trình dự án (Agile/Scrum). Tester là người soi lỗi, ép Dev phải tuân thủ quy trình chất lượng (QA). Hai vai trò này ngang nhau (1) và cực kỳ quan trọng về quy trình.
Tier 2 (DevOps): Đảm bảo luồng quy trình CI/CD (Continuous Integration / Continuous Deployment) chạy mượt mà không bị lỗi.
Đáy (Dev/AI/Data): Kỹ sư thường rất lười làm tài liệu và hay muốn "vượt rào" quy trình để code cho nhanh. Do đó, điểm Process của họ cực kỳ thấp so với BA.
</text>
  </threadedComment>
  <threadedComment ref="A55" dT="2026-02-14T02:57:54.07" personId="{FD9DDC2D-CD2D-4F23-8A7C-992FD40B016E}" id="{35F878A5-EB4A-4BF6-BEDF-29D67FE5B403}">
    <text xml:space="preserve">(Tier 1 - BA &amp; DA): Làm app ngân hàng thì phải biết nghiệp vụ ngân hàng. BA là người đi nói chuyện với khách hàng nên hiểu rõ nhất. DA thì phân tích dữ liệu kinh doanh nên cũng nắm sát sườn. Hai vị trí này quan trọng nhất.
Tier 2 (Tester): Cần hiểu nghiệp vụ (Domain) để viết các Use Case / Test Case cho đúng thực tế.
Đáy (Dev/AI/DevOps): Chỗ này em lưu ý quy luật đánh đổi: Coder giỏi thường ít quan tâm đến kinh doanh. Họ chỉ quan tâm tới công nghệ (Tech Stack). Do đó điểm Domain của DevOps và Dev lõi thường rất thấp.
</text>
  </threadedComment>
  <threadedComment ref="L69" dT="2026-02-14T02:52:03.64" personId="{FD9DDC2D-CD2D-4F23-8A7C-992FD40B016E}" id="{AD0AED09-B56E-482F-9EA8-F20767035E24}">
    <text xml:space="preserve">(Tier 1 - AI &amp; DA): Em không thể làm AI hay Data nếu không giỏi Đại số tuyến tính, Xác suất thống kê và Ma trận. Đây là "hơi thở" của 2 vị trí này. AI và DA ngang nhau (1). AI áp đảo hoàn toàn FE (điểm 9).
Tier 2 (Backend &amp; DevOps): Backend cần hiểu cấu trúc dữ liệu tốt để thiết kế Database. DevOps cần xử lý logs và metric data.
Đáy: Frontend, Mobile chỉ lấy dữ liệu đã xử lý sẵn hiển thị lên. Không cần tính toán nhiều.
</text>
  </threadedComment>
  <threadedComment ref="A84" dT="2026-02-14T02:53:19.83" personId="{FD9DDC2D-CD2D-4F23-8A7C-992FD40B016E}" id="{08B263D1-C99B-4504-8E67-F9D99F274533}">
    <text xml:space="preserve">(Tier 1 - DevOps): Hệ thống, Server, Load Balancing, Docker, Cloud (AWS/Azure) là vương quốc của DevOps. So với FE hay BA, nó là khoảng cách của trời và vực (điểm 9).
Tier 2 (Backend): Backend thiết kế kiến trúc Microservices nên phải hiểu rõ System. Tuy nhiên, vẫn thua DevOps một bậc (Backend = 0.5 DevOps).
Đáy: BA, FE, Mobile gần như "mù tịt" về cấu hình server vật lý hay mạng bảo mật.
</text>
  </threadedComment>
  <threadedComment ref="L84" dT="2026-02-14T02:54:22.60" personId="{FD9DDC2D-CD2D-4F23-8A7C-992FD40B016E}" id="{622CF920-5F90-453A-B83E-2DD495761484}">
    <text xml:space="preserve">(Tier 1 - BA &amp; Tester): BA là người làm ra quy trình dự án (Agile/Scrum). Tester là người soi lỗi, ép Dev phải tuân thủ quy trình chất lượng (QA). Hai vai trò này ngang nhau (1) và cực kỳ quan trọng về quy trình.
Tier 2 (DevOps): Đảm bảo luồng quy trình CI/CD (Continuous Integration / Continuous Deployment) chạy mượt mà không bị lỗi.
Đáy (Dev/AI/Data): Kỹ sư thường rất lười làm tài liệu và hay muốn "vượt rào" quy trình để code cho nhanh. Do đó, điểm Process của họ cực kỳ thấp so với BA.
</text>
  </threadedComment>
  <threadedComment ref="A99" dT="2026-02-14T02:57:54.07" personId="{FD9DDC2D-CD2D-4F23-8A7C-992FD40B016E}" id="{0520669A-47E3-4DBA-8359-AF10CD5E1A52}">
    <text xml:space="preserve">(Tier 1 - BA &amp; DA): Làm app ngân hàng thì phải biết nghiệp vụ ngân hàng. BA là người đi nói chuyện với khách hàng nên hiểu rõ nhất. DA thì phân tích dữ liệu kinh doanh nên cũng nắm sát sườn. Hai vị trí này quan trọng nhất.
Tier 2 (Tester): Cần hiểu nghiệp vụ (Domain) để viết các Use Case / Test Case cho đúng thực tế.
Đáy (Dev/AI/DevOps): Chỗ này em lưu ý quy luật đánh đổi: Coder giỏi thường ít quan tâm đến kinh doanh. Họ chỉ quan tâm tới công nghệ (Tech Stack). Do đó điểm Domain của DevOps và Dev lõi thường rất thấp.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17BA2-2AE3-488B-B8CB-BEE0777835D2}">
  <dimension ref="A1:U124"/>
  <sheetViews>
    <sheetView tabSelected="1" zoomScale="85" zoomScaleNormal="85" workbookViewId="0">
      <selection activeCell="K11" sqref="K11"/>
    </sheetView>
  </sheetViews>
  <sheetFormatPr defaultRowHeight="15.6" x14ac:dyDescent="0.3"/>
  <cols>
    <col min="1" max="1" width="21.109375" style="62" customWidth="1"/>
    <col min="2" max="2" width="10.44140625" style="62" bestFit="1" customWidth="1"/>
    <col min="3" max="3" width="14" style="62" bestFit="1" customWidth="1"/>
    <col min="4" max="4" width="10.6640625" style="62" bestFit="1" customWidth="1"/>
    <col min="5" max="5" width="11.109375" style="62" bestFit="1" customWidth="1"/>
    <col min="6" max="6" width="12.21875" style="62" customWidth="1"/>
    <col min="7" max="7" width="8.88671875" style="62"/>
    <col min="8" max="8" width="12.109375" style="62" customWidth="1"/>
    <col min="9" max="10" width="8.88671875" style="62"/>
    <col min="11" max="12" width="15.21875" style="62" bestFit="1" customWidth="1"/>
    <col min="13" max="13" width="12.21875" style="62" customWidth="1"/>
    <col min="14" max="16384" width="8.88671875" style="62"/>
  </cols>
  <sheetData>
    <row r="1" spans="1:19" ht="104.4" customHeight="1" x14ac:dyDescent="0.3">
      <c r="I1" s="83" t="s">
        <v>96</v>
      </c>
      <c r="J1" s="83"/>
      <c r="K1" s="83"/>
      <c r="L1" s="83"/>
      <c r="M1" s="83"/>
      <c r="N1" s="83"/>
      <c r="O1" s="83" t="s">
        <v>97</v>
      </c>
      <c r="P1" s="83"/>
      <c r="Q1" s="83"/>
      <c r="R1" s="83"/>
      <c r="S1" s="83"/>
    </row>
    <row r="2" spans="1:19" ht="50.4" customHeight="1" x14ac:dyDescent="0.3">
      <c r="A2" s="78" t="s">
        <v>69</v>
      </c>
      <c r="B2" s="78"/>
      <c r="C2" s="78"/>
      <c r="D2" s="78"/>
      <c r="E2" s="78"/>
      <c r="F2" s="78"/>
      <c r="I2" s="83"/>
      <c r="J2" s="83"/>
      <c r="K2" s="83"/>
      <c r="L2" s="83"/>
      <c r="M2" s="83"/>
      <c r="N2" s="83"/>
      <c r="O2" s="83"/>
      <c r="P2" s="83"/>
      <c r="Q2" s="83"/>
      <c r="R2" s="83"/>
      <c r="S2" s="83"/>
    </row>
    <row r="3" spans="1:19" ht="31.2" x14ac:dyDescent="0.3">
      <c r="A3" s="63"/>
      <c r="B3" s="65" t="s">
        <v>56</v>
      </c>
      <c r="C3" s="65" t="s">
        <v>57</v>
      </c>
      <c r="D3" s="65" t="s">
        <v>58</v>
      </c>
      <c r="E3" s="65" t="s">
        <v>59</v>
      </c>
      <c r="F3" s="65" t="s">
        <v>60</v>
      </c>
      <c r="I3" s="83"/>
      <c r="J3" s="83"/>
      <c r="K3" s="83"/>
      <c r="L3" s="83"/>
      <c r="M3" s="83"/>
      <c r="N3" s="83"/>
      <c r="O3" s="83"/>
      <c r="P3" s="83"/>
      <c r="Q3" s="83"/>
      <c r="R3" s="83"/>
      <c r="S3" s="83"/>
    </row>
    <row r="4" spans="1:19" x14ac:dyDescent="0.3">
      <c r="A4" s="65" t="s">
        <v>56</v>
      </c>
      <c r="B4" s="63">
        <v>1</v>
      </c>
      <c r="C4" s="63">
        <v>1</v>
      </c>
      <c r="D4" s="63">
        <v>3</v>
      </c>
      <c r="E4" s="63">
        <v>5</v>
      </c>
      <c r="F4" s="63">
        <v>7</v>
      </c>
      <c r="I4" s="83"/>
      <c r="J4" s="83"/>
      <c r="K4" s="83"/>
      <c r="L4" s="83"/>
      <c r="M4" s="83"/>
      <c r="N4" s="83"/>
      <c r="O4" s="83"/>
      <c r="P4" s="83"/>
      <c r="Q4" s="83"/>
      <c r="R4" s="83"/>
      <c r="S4" s="83"/>
    </row>
    <row r="5" spans="1:19" x14ac:dyDescent="0.3">
      <c r="A5" s="65" t="s">
        <v>57</v>
      </c>
      <c r="B5" s="63">
        <v>1</v>
      </c>
      <c r="C5" s="63">
        <v>1</v>
      </c>
      <c r="D5" s="63">
        <v>3</v>
      </c>
      <c r="E5" s="63">
        <v>5</v>
      </c>
      <c r="F5" s="63">
        <v>7</v>
      </c>
      <c r="I5" s="83"/>
      <c r="J5" s="83"/>
      <c r="K5" s="83"/>
      <c r="L5" s="83"/>
      <c r="M5" s="83"/>
      <c r="N5" s="83"/>
      <c r="O5" s="83"/>
      <c r="P5" s="83"/>
      <c r="Q5" s="83"/>
      <c r="R5" s="83"/>
      <c r="S5" s="83"/>
    </row>
    <row r="6" spans="1:19" x14ac:dyDescent="0.3">
      <c r="A6" s="65" t="s">
        <v>58</v>
      </c>
      <c r="B6" s="63">
        <v>0.33329999999999999</v>
      </c>
      <c r="C6" s="63">
        <v>0.33329999999999999</v>
      </c>
      <c r="D6" s="63">
        <v>1</v>
      </c>
      <c r="E6" s="63">
        <v>3</v>
      </c>
      <c r="F6" s="63">
        <v>5</v>
      </c>
      <c r="I6" s="83"/>
      <c r="J6" s="83"/>
      <c r="K6" s="83"/>
      <c r="L6" s="83"/>
      <c r="M6" s="83"/>
      <c r="N6" s="83"/>
      <c r="O6" s="83"/>
      <c r="P6" s="83"/>
      <c r="Q6" s="83"/>
      <c r="R6" s="83"/>
      <c r="S6" s="83"/>
    </row>
    <row r="7" spans="1:19" x14ac:dyDescent="0.3">
      <c r="A7" s="65" t="s">
        <v>59</v>
      </c>
      <c r="B7" s="63">
        <v>0.2</v>
      </c>
      <c r="C7" s="63">
        <v>0.2</v>
      </c>
      <c r="D7" s="63">
        <v>0.33329999999999999</v>
      </c>
      <c r="E7" s="63">
        <v>1</v>
      </c>
      <c r="F7" s="63">
        <v>3</v>
      </c>
      <c r="I7" s="83"/>
      <c r="J7" s="83"/>
      <c r="K7" s="83"/>
      <c r="L7" s="83"/>
      <c r="M7" s="83"/>
      <c r="N7" s="83"/>
      <c r="O7" s="83"/>
      <c r="P7" s="83"/>
      <c r="Q7" s="83"/>
      <c r="R7" s="83"/>
      <c r="S7" s="83"/>
    </row>
    <row r="8" spans="1:19" ht="43.2" customHeight="1" x14ac:dyDescent="0.3">
      <c r="A8" s="65" t="s">
        <v>60</v>
      </c>
      <c r="B8" s="63">
        <v>0.1429</v>
      </c>
      <c r="C8" s="63">
        <v>0.1429</v>
      </c>
      <c r="D8" s="63">
        <v>0.2</v>
      </c>
      <c r="E8" s="63">
        <v>0.33329999999999999</v>
      </c>
      <c r="F8" s="63">
        <v>1</v>
      </c>
      <c r="I8" s="83"/>
      <c r="J8" s="83"/>
      <c r="K8" s="83"/>
      <c r="L8" s="83"/>
      <c r="M8" s="83"/>
      <c r="N8" s="83"/>
      <c r="O8" s="83"/>
      <c r="P8" s="83"/>
      <c r="Q8" s="83"/>
      <c r="R8" s="83"/>
      <c r="S8" s="83"/>
    </row>
    <row r="9" spans="1:19" ht="44.4" customHeight="1" x14ac:dyDescent="0.3">
      <c r="A9" s="65" t="s">
        <v>61</v>
      </c>
      <c r="B9" s="63">
        <v>2.6762000000000001</v>
      </c>
      <c r="C9" s="63">
        <v>2.6762000000000001</v>
      </c>
      <c r="D9" s="63">
        <v>7.5332999999999997</v>
      </c>
      <c r="E9" s="63">
        <v>14.333299999999999</v>
      </c>
      <c r="F9" s="63">
        <v>23</v>
      </c>
      <c r="I9" s="83"/>
      <c r="J9" s="83"/>
      <c r="K9" s="83"/>
      <c r="L9" s="83"/>
      <c r="M9" s="83"/>
      <c r="N9" s="83"/>
      <c r="O9" s="83"/>
      <c r="P9" s="83"/>
      <c r="Q9" s="83"/>
      <c r="R9" s="83"/>
      <c r="S9" s="83"/>
    </row>
    <row r="10" spans="1:19" x14ac:dyDescent="0.3">
      <c r="A10" s="69"/>
      <c r="I10" s="68"/>
      <c r="J10" s="68"/>
      <c r="K10" s="68"/>
      <c r="L10" s="68"/>
      <c r="M10" s="68"/>
      <c r="N10" s="68"/>
      <c r="O10" s="68"/>
      <c r="P10" s="68"/>
      <c r="Q10" s="68"/>
    </row>
    <row r="11" spans="1:19" ht="37.200000000000003" customHeight="1" x14ac:dyDescent="0.3">
      <c r="I11" s="68"/>
      <c r="J11" s="68"/>
      <c r="K11" s="68"/>
      <c r="L11" s="68"/>
      <c r="M11" s="68"/>
      <c r="N11" s="68"/>
      <c r="O11" s="68"/>
      <c r="P11" s="68"/>
      <c r="Q11" s="68"/>
    </row>
    <row r="12" spans="1:19" ht="52.2" customHeight="1" x14ac:dyDescent="0.3">
      <c r="A12" s="78" t="s">
        <v>64</v>
      </c>
      <c r="B12" s="78"/>
      <c r="C12" s="78"/>
      <c r="D12" s="78"/>
      <c r="E12" s="78"/>
      <c r="F12" s="78"/>
      <c r="G12" s="78"/>
    </row>
    <row r="13" spans="1:19" ht="31.2" x14ac:dyDescent="0.3">
      <c r="A13" s="63"/>
      <c r="B13" s="65" t="s">
        <v>56</v>
      </c>
      <c r="C13" s="65" t="s">
        <v>57</v>
      </c>
      <c r="D13" s="65" t="s">
        <v>58</v>
      </c>
      <c r="E13" s="65" t="s">
        <v>59</v>
      </c>
      <c r="F13" s="65" t="s">
        <v>60</v>
      </c>
      <c r="G13" s="66" t="s">
        <v>62</v>
      </c>
    </row>
    <row r="14" spans="1:19" x14ac:dyDescent="0.3">
      <c r="A14" s="65" t="s">
        <v>56</v>
      </c>
      <c r="B14" s="70">
        <f>B4/B9</f>
        <v>0.37366415066138553</v>
      </c>
      <c r="C14" s="70">
        <f t="shared" ref="C14:F14" si="0">C4/C9</f>
        <v>0.37366415066138553</v>
      </c>
      <c r="D14" s="70">
        <f t="shared" si="0"/>
        <v>0.39823185058340965</v>
      </c>
      <c r="E14" s="70">
        <f t="shared" si="0"/>
        <v>0.34883802055353619</v>
      </c>
      <c r="F14" s="70">
        <f t="shared" si="0"/>
        <v>0.30434782608695654</v>
      </c>
      <c r="G14" s="71">
        <v>0.35970000000000002</v>
      </c>
    </row>
    <row r="15" spans="1:19" x14ac:dyDescent="0.3">
      <c r="A15" s="65" t="s">
        <v>57</v>
      </c>
      <c r="B15" s="70">
        <f>B5/B9</f>
        <v>0.37366415066138553</v>
      </c>
      <c r="C15" s="70">
        <f t="shared" ref="C15:F15" si="1">C5/C9</f>
        <v>0.37366415066138553</v>
      </c>
      <c r="D15" s="70">
        <f t="shared" si="1"/>
        <v>0.39823185058340965</v>
      </c>
      <c r="E15" s="70">
        <f t="shared" si="1"/>
        <v>0.34883802055353619</v>
      </c>
      <c r="F15" s="70">
        <f t="shared" si="1"/>
        <v>0.30434782608695654</v>
      </c>
      <c r="G15" s="71">
        <v>0.35970000000000002</v>
      </c>
    </row>
    <row r="16" spans="1:19" x14ac:dyDescent="0.3">
      <c r="A16" s="65" t="s">
        <v>58</v>
      </c>
      <c r="B16" s="70">
        <f>B6/B9</f>
        <v>0.1245422614154398</v>
      </c>
      <c r="C16" s="70">
        <f t="shared" ref="C16:F16" si="2">C6/C9</f>
        <v>0.1245422614154398</v>
      </c>
      <c r="D16" s="70">
        <f t="shared" si="2"/>
        <v>0.13274395019446988</v>
      </c>
      <c r="E16" s="70">
        <f t="shared" si="2"/>
        <v>0.20930281233212172</v>
      </c>
      <c r="F16" s="70">
        <f t="shared" si="2"/>
        <v>0.21739130434782608</v>
      </c>
      <c r="G16" s="71">
        <v>0.16170000000000001</v>
      </c>
    </row>
    <row r="17" spans="1:19" x14ac:dyDescent="0.3">
      <c r="A17" s="65" t="s">
        <v>59</v>
      </c>
      <c r="B17" s="70">
        <f>B7/B9</f>
        <v>7.4732830132277106E-2</v>
      </c>
      <c r="C17" s="70">
        <f t="shared" ref="C17:F17" si="3">C7/C9</f>
        <v>7.4732830132277106E-2</v>
      </c>
      <c r="D17" s="70">
        <f t="shared" si="3"/>
        <v>4.4243558599816817E-2</v>
      </c>
      <c r="E17" s="70">
        <f t="shared" si="3"/>
        <v>6.9767604110707232E-2</v>
      </c>
      <c r="F17" s="70">
        <f t="shared" si="3"/>
        <v>0.13043478260869565</v>
      </c>
      <c r="G17" s="71">
        <v>7.8799999999999995E-2</v>
      </c>
    </row>
    <row r="18" spans="1:19" x14ac:dyDescent="0.3">
      <c r="A18" s="65" t="s">
        <v>60</v>
      </c>
      <c r="B18" s="70">
        <f>B8/B9</f>
        <v>5.339660712951199E-2</v>
      </c>
      <c r="C18" s="70">
        <f t="shared" ref="C18:F18" si="4">C8/C9</f>
        <v>5.339660712951199E-2</v>
      </c>
      <c r="D18" s="70">
        <f t="shared" si="4"/>
        <v>2.6548790038893981E-2</v>
      </c>
      <c r="E18" s="70">
        <f t="shared" si="4"/>
        <v>2.3253542450098721E-2</v>
      </c>
      <c r="F18" s="70">
        <f t="shared" si="4"/>
        <v>4.3478260869565216E-2</v>
      </c>
      <c r="G18" s="71">
        <v>0.04</v>
      </c>
    </row>
    <row r="19" spans="1:19" x14ac:dyDescent="0.3">
      <c r="A19" s="65" t="s">
        <v>63</v>
      </c>
      <c r="B19" s="63"/>
      <c r="C19" s="63"/>
      <c r="D19" s="63"/>
      <c r="E19" s="63"/>
      <c r="F19" s="63"/>
      <c r="G19" s="65">
        <v>1</v>
      </c>
    </row>
    <row r="21" spans="1:19" ht="46.8" customHeight="1" x14ac:dyDescent="0.3">
      <c r="A21" s="79" t="s">
        <v>70</v>
      </c>
      <c r="B21" s="79"/>
      <c r="C21" s="79"/>
      <c r="D21" s="79"/>
      <c r="E21" s="79"/>
      <c r="F21" s="79"/>
      <c r="G21" s="79"/>
    </row>
    <row r="22" spans="1:19" x14ac:dyDescent="0.3">
      <c r="A22" s="67" t="s">
        <v>65</v>
      </c>
      <c r="B22" s="67" t="s">
        <v>66</v>
      </c>
    </row>
    <row r="23" spans="1:19" x14ac:dyDescent="0.3">
      <c r="A23" s="67" t="s">
        <v>67</v>
      </c>
      <c r="B23" s="70" cm="1">
        <f t="array" ref="B23">SUMPRODUCT(B9:F9,TRANSPOSE(G14:G18))</f>
        <v>5.1928569299999996</v>
      </c>
    </row>
    <row r="24" spans="1:19" x14ac:dyDescent="0.3">
      <c r="A24" s="67" t="s">
        <v>6</v>
      </c>
      <c r="B24" s="70">
        <f>(B23-5)/4</f>
        <v>4.8214232499999898E-2</v>
      </c>
    </row>
    <row r="25" spans="1:19" x14ac:dyDescent="0.3">
      <c r="A25" s="67" t="s">
        <v>68</v>
      </c>
      <c r="B25" s="70">
        <v>1.1200000000000001</v>
      </c>
    </row>
    <row r="26" spans="1:19" ht="16.8" x14ac:dyDescent="0.3">
      <c r="A26" s="67" t="s">
        <v>7</v>
      </c>
      <c r="B26" s="70">
        <f>B24/B25</f>
        <v>4.3048421874999902E-2</v>
      </c>
      <c r="C26" s="20" t="s">
        <v>8</v>
      </c>
    </row>
    <row r="29" spans="1:19" ht="34.799999999999997" customHeight="1" x14ac:dyDescent="0.3">
      <c r="A29" s="76" t="s">
        <v>91</v>
      </c>
      <c r="B29" s="76"/>
      <c r="C29" s="76"/>
      <c r="D29" s="76"/>
      <c r="E29" s="76"/>
      <c r="F29" s="76"/>
      <c r="G29" s="76"/>
      <c r="H29" s="76"/>
      <c r="I29" s="76"/>
      <c r="J29" s="76"/>
      <c r="K29" s="76"/>
      <c r="L29" s="76"/>
      <c r="M29" s="76"/>
      <c r="N29" s="76"/>
      <c r="O29" s="76"/>
      <c r="P29" s="76"/>
      <c r="Q29" s="76"/>
      <c r="R29" s="76"/>
      <c r="S29" s="76"/>
    </row>
    <row r="30" spans="1:19" ht="31.2" x14ac:dyDescent="0.3">
      <c r="A30" s="67" t="s">
        <v>86</v>
      </c>
      <c r="B30" s="65" t="s">
        <v>71</v>
      </c>
      <c r="C30" s="65" t="s">
        <v>72</v>
      </c>
      <c r="D30" s="65" t="s">
        <v>73</v>
      </c>
      <c r="E30" s="65" t="s">
        <v>74</v>
      </c>
      <c r="F30" s="65" t="s">
        <v>75</v>
      </c>
      <c r="G30" s="65" t="s">
        <v>76</v>
      </c>
      <c r="H30" s="65" t="s">
        <v>77</v>
      </c>
      <c r="I30" s="65" t="s">
        <v>78</v>
      </c>
      <c r="K30" s="67" t="s">
        <v>87</v>
      </c>
      <c r="L30" s="65" t="s">
        <v>71</v>
      </c>
      <c r="M30" s="65" t="s">
        <v>72</v>
      </c>
      <c r="N30" s="65" t="s">
        <v>73</v>
      </c>
      <c r="O30" s="65" t="s">
        <v>74</v>
      </c>
      <c r="P30" s="65" t="s">
        <v>75</v>
      </c>
      <c r="Q30" s="65" t="s">
        <v>76</v>
      </c>
      <c r="R30" s="65" t="s">
        <v>77</v>
      </c>
      <c r="S30" s="65" t="s">
        <v>78</v>
      </c>
    </row>
    <row r="31" spans="1:19" x14ac:dyDescent="0.3">
      <c r="A31" s="65" t="s">
        <v>79</v>
      </c>
      <c r="B31" s="72">
        <v>1</v>
      </c>
      <c r="C31" s="63">
        <v>3</v>
      </c>
      <c r="D31" s="63">
        <v>3</v>
      </c>
      <c r="E31" s="63">
        <v>5</v>
      </c>
      <c r="F31" s="63">
        <v>1</v>
      </c>
      <c r="G31" s="63">
        <v>7</v>
      </c>
      <c r="H31" s="63">
        <v>9</v>
      </c>
      <c r="I31" s="63">
        <v>2</v>
      </c>
      <c r="K31" s="65" t="s">
        <v>79</v>
      </c>
      <c r="L31" s="72">
        <v>1</v>
      </c>
      <c r="M31" s="63">
        <v>3</v>
      </c>
      <c r="N31" s="63">
        <v>3</v>
      </c>
      <c r="O31" s="63">
        <v>0.33329999999999999</v>
      </c>
      <c r="P31" s="63">
        <v>0.33329999999999999</v>
      </c>
      <c r="Q31" s="63">
        <v>3</v>
      </c>
      <c r="R31" s="63">
        <v>4</v>
      </c>
      <c r="S31" s="63">
        <v>2</v>
      </c>
    </row>
    <row r="32" spans="1:19" x14ac:dyDescent="0.3">
      <c r="A32" s="65" t="s">
        <v>80</v>
      </c>
      <c r="B32" s="63">
        <v>0.33329999999999999</v>
      </c>
      <c r="C32" s="72">
        <v>1</v>
      </c>
      <c r="D32" s="63">
        <v>1</v>
      </c>
      <c r="E32" s="63">
        <v>3</v>
      </c>
      <c r="F32" s="63">
        <v>0.33329999999999999</v>
      </c>
      <c r="G32" s="63">
        <v>5</v>
      </c>
      <c r="H32" s="63">
        <v>7</v>
      </c>
      <c r="I32" s="63">
        <v>0.5</v>
      </c>
      <c r="K32" s="65" t="s">
        <v>80</v>
      </c>
      <c r="L32" s="63">
        <v>0.33329999999999999</v>
      </c>
      <c r="M32" s="72">
        <v>1</v>
      </c>
      <c r="N32" s="63">
        <v>1</v>
      </c>
      <c r="O32" s="63">
        <v>0.125</v>
      </c>
      <c r="P32" s="63">
        <v>0.1111</v>
      </c>
      <c r="Q32" s="63">
        <v>1</v>
      </c>
      <c r="R32" s="63">
        <v>1</v>
      </c>
      <c r="S32" s="63">
        <v>0.5</v>
      </c>
    </row>
    <row r="33" spans="1:19" x14ac:dyDescent="0.3">
      <c r="A33" s="65" t="s">
        <v>81</v>
      </c>
      <c r="B33" s="63">
        <v>0.33329999999999999</v>
      </c>
      <c r="C33" s="63">
        <v>1</v>
      </c>
      <c r="D33" s="72">
        <v>1</v>
      </c>
      <c r="E33" s="63">
        <v>3</v>
      </c>
      <c r="F33" s="63">
        <v>0.33329999999999999</v>
      </c>
      <c r="G33" s="63">
        <v>5</v>
      </c>
      <c r="H33" s="63">
        <v>7</v>
      </c>
      <c r="I33" s="63">
        <v>0.5</v>
      </c>
      <c r="K33" s="65" t="s">
        <v>81</v>
      </c>
      <c r="L33" s="63">
        <v>0.33329999999999999</v>
      </c>
      <c r="M33" s="63">
        <v>1</v>
      </c>
      <c r="N33" s="72">
        <v>1</v>
      </c>
      <c r="O33" s="63">
        <v>0.125</v>
      </c>
      <c r="P33" s="63">
        <v>0.1111</v>
      </c>
      <c r="Q33" s="63">
        <v>1</v>
      </c>
      <c r="R33" s="63">
        <v>1</v>
      </c>
      <c r="S33" s="63">
        <v>0.5</v>
      </c>
    </row>
    <row r="34" spans="1:19" ht="31.2" x14ac:dyDescent="0.3">
      <c r="A34" s="65" t="s">
        <v>82</v>
      </c>
      <c r="B34" s="63">
        <v>0.2</v>
      </c>
      <c r="C34" s="63">
        <v>0.33329999999999999</v>
      </c>
      <c r="D34" s="63">
        <v>0.33329999999999999</v>
      </c>
      <c r="E34" s="72">
        <v>1</v>
      </c>
      <c r="F34" s="63">
        <v>0.2</v>
      </c>
      <c r="G34" s="63">
        <v>3</v>
      </c>
      <c r="H34" s="63">
        <v>5</v>
      </c>
      <c r="I34" s="63">
        <v>0.33329999999999999</v>
      </c>
      <c r="K34" s="65" t="s">
        <v>82</v>
      </c>
      <c r="L34" s="63">
        <v>3</v>
      </c>
      <c r="M34" s="63">
        <v>8</v>
      </c>
      <c r="N34" s="63">
        <v>8</v>
      </c>
      <c r="O34" s="72">
        <v>1</v>
      </c>
      <c r="P34" s="63">
        <v>1</v>
      </c>
      <c r="Q34" s="63">
        <v>8</v>
      </c>
      <c r="R34" s="63">
        <v>9</v>
      </c>
      <c r="S34" s="63">
        <v>4</v>
      </c>
    </row>
    <row r="35" spans="1:19" ht="31.2" x14ac:dyDescent="0.3">
      <c r="A35" s="65" t="s">
        <v>83</v>
      </c>
      <c r="B35" s="63">
        <v>1</v>
      </c>
      <c r="C35" s="63">
        <v>3</v>
      </c>
      <c r="D35" s="63">
        <v>3</v>
      </c>
      <c r="E35" s="63">
        <v>5</v>
      </c>
      <c r="F35" s="72">
        <v>1</v>
      </c>
      <c r="G35" s="63">
        <v>7</v>
      </c>
      <c r="H35" s="63">
        <v>9</v>
      </c>
      <c r="I35" s="63">
        <v>2</v>
      </c>
      <c r="K35" s="65" t="s">
        <v>83</v>
      </c>
      <c r="L35" s="63">
        <v>3</v>
      </c>
      <c r="M35" s="63">
        <v>9</v>
      </c>
      <c r="N35" s="63">
        <v>9</v>
      </c>
      <c r="O35" s="63">
        <v>1</v>
      </c>
      <c r="P35" s="72">
        <v>1</v>
      </c>
      <c r="Q35" s="63">
        <v>9</v>
      </c>
      <c r="R35" s="63">
        <v>9</v>
      </c>
      <c r="S35" s="63">
        <v>4</v>
      </c>
    </row>
    <row r="36" spans="1:19" x14ac:dyDescent="0.3">
      <c r="A36" s="65" t="s">
        <v>84</v>
      </c>
      <c r="B36" s="63">
        <v>0.1429</v>
      </c>
      <c r="C36" s="63">
        <v>0.2</v>
      </c>
      <c r="D36" s="63">
        <v>0.2</v>
      </c>
      <c r="E36" s="63">
        <v>0.33329999999999999</v>
      </c>
      <c r="F36" s="63">
        <v>0.1429</v>
      </c>
      <c r="G36" s="72">
        <v>1</v>
      </c>
      <c r="H36" s="63">
        <v>3</v>
      </c>
      <c r="I36" s="63">
        <v>0.2</v>
      </c>
      <c r="K36" s="65" t="s">
        <v>84</v>
      </c>
      <c r="L36" s="63">
        <v>0.33329999999999999</v>
      </c>
      <c r="M36" s="63">
        <v>1</v>
      </c>
      <c r="N36" s="63">
        <v>1</v>
      </c>
      <c r="O36" s="63">
        <v>0.125</v>
      </c>
      <c r="P36" s="63">
        <v>0.1111</v>
      </c>
      <c r="Q36" s="72">
        <v>1</v>
      </c>
      <c r="R36" s="63">
        <v>1</v>
      </c>
      <c r="S36" s="63">
        <v>0.5</v>
      </c>
    </row>
    <row r="37" spans="1:19" x14ac:dyDescent="0.3">
      <c r="A37" s="65" t="s">
        <v>77</v>
      </c>
      <c r="B37" s="63">
        <v>0.1111</v>
      </c>
      <c r="C37" s="63">
        <v>0.1429</v>
      </c>
      <c r="D37" s="63">
        <v>0.1429</v>
      </c>
      <c r="E37" s="63">
        <v>0.2</v>
      </c>
      <c r="F37" s="63">
        <v>0.1111</v>
      </c>
      <c r="G37" s="63">
        <v>0.33329999999999999</v>
      </c>
      <c r="H37" s="72">
        <v>1</v>
      </c>
      <c r="I37" s="63">
        <v>0.1429</v>
      </c>
      <c r="K37" s="65" t="s">
        <v>77</v>
      </c>
      <c r="L37" s="63">
        <v>0.25</v>
      </c>
      <c r="M37" s="63">
        <v>1</v>
      </c>
      <c r="N37" s="63">
        <v>1</v>
      </c>
      <c r="O37" s="63">
        <v>0.1111</v>
      </c>
      <c r="P37" s="63">
        <v>0.1111</v>
      </c>
      <c r="Q37" s="63">
        <v>1</v>
      </c>
      <c r="R37" s="72">
        <v>1</v>
      </c>
      <c r="S37" s="63">
        <v>0.33329999999999999</v>
      </c>
    </row>
    <row r="38" spans="1:19" x14ac:dyDescent="0.3">
      <c r="A38" s="65" t="s">
        <v>85</v>
      </c>
      <c r="B38" s="63">
        <v>0.5</v>
      </c>
      <c r="C38" s="63">
        <v>2</v>
      </c>
      <c r="D38" s="63">
        <v>2</v>
      </c>
      <c r="E38" s="63">
        <v>3</v>
      </c>
      <c r="F38" s="63">
        <v>0.5</v>
      </c>
      <c r="G38" s="63">
        <v>5</v>
      </c>
      <c r="H38" s="63">
        <v>7</v>
      </c>
      <c r="I38" s="72">
        <v>1</v>
      </c>
      <c r="K38" s="65" t="s">
        <v>85</v>
      </c>
      <c r="L38" s="63">
        <v>0.5</v>
      </c>
      <c r="M38" s="63">
        <v>2</v>
      </c>
      <c r="N38" s="63">
        <v>2</v>
      </c>
      <c r="O38" s="63">
        <v>0.25</v>
      </c>
      <c r="P38" s="63">
        <v>0.25</v>
      </c>
      <c r="Q38" s="63">
        <v>2</v>
      </c>
      <c r="R38" s="63">
        <v>3</v>
      </c>
      <c r="S38" s="72">
        <v>1</v>
      </c>
    </row>
    <row r="39" spans="1:19" x14ac:dyDescent="0.3">
      <c r="A39" s="65" t="s">
        <v>61</v>
      </c>
      <c r="B39" s="63">
        <v>3.6206</v>
      </c>
      <c r="C39" s="63">
        <v>10.6762</v>
      </c>
      <c r="D39" s="63">
        <v>10.6762</v>
      </c>
      <c r="E39" s="63">
        <v>20.533300000000001</v>
      </c>
      <c r="F39" s="63">
        <v>3.6206</v>
      </c>
      <c r="G39" s="63">
        <v>33.333300000000001</v>
      </c>
      <c r="H39" s="63">
        <v>48</v>
      </c>
      <c r="I39" s="63">
        <v>6.6761999999999997</v>
      </c>
      <c r="K39" s="65" t="s">
        <v>61</v>
      </c>
      <c r="L39" s="63">
        <v>8.75</v>
      </c>
      <c r="M39" s="63">
        <v>26</v>
      </c>
      <c r="N39" s="63">
        <v>26</v>
      </c>
      <c r="O39" s="63">
        <v>3.0693999999999999</v>
      </c>
      <c r="P39" s="63">
        <v>3.0278</v>
      </c>
      <c r="Q39" s="63">
        <v>26</v>
      </c>
      <c r="R39" s="63">
        <v>29</v>
      </c>
      <c r="S39" s="63">
        <v>12.833299999999999</v>
      </c>
    </row>
    <row r="43" spans="1:19" ht="31.2" x14ac:dyDescent="0.3">
      <c r="A43" s="67" t="s">
        <v>88</v>
      </c>
      <c r="B43" s="65" t="s">
        <v>71</v>
      </c>
      <c r="C43" s="65" t="s">
        <v>72</v>
      </c>
      <c r="D43" s="65" t="s">
        <v>73</v>
      </c>
      <c r="E43" s="65" t="s">
        <v>74</v>
      </c>
      <c r="F43" s="65" t="s">
        <v>75</v>
      </c>
      <c r="G43" s="65" t="s">
        <v>76</v>
      </c>
      <c r="H43" s="65" t="s">
        <v>77</v>
      </c>
      <c r="I43" s="65" t="s">
        <v>78</v>
      </c>
      <c r="K43" s="67" t="s">
        <v>89</v>
      </c>
      <c r="L43" s="65" t="s">
        <v>71</v>
      </c>
      <c r="M43" s="65" t="s">
        <v>72</v>
      </c>
      <c r="N43" s="65" t="s">
        <v>73</v>
      </c>
      <c r="O43" s="65" t="s">
        <v>74</v>
      </c>
      <c r="P43" s="65" t="s">
        <v>75</v>
      </c>
      <c r="Q43" s="65" t="s">
        <v>76</v>
      </c>
      <c r="R43" s="65" t="s">
        <v>77</v>
      </c>
      <c r="S43" s="65" t="s">
        <v>78</v>
      </c>
    </row>
    <row r="44" spans="1:19" x14ac:dyDescent="0.3">
      <c r="A44" s="65" t="s">
        <v>79</v>
      </c>
      <c r="B44" s="72">
        <v>1</v>
      </c>
      <c r="C44" s="63">
        <v>6</v>
      </c>
      <c r="D44" s="63">
        <v>6</v>
      </c>
      <c r="E44" s="63">
        <v>3</v>
      </c>
      <c r="F44" s="63">
        <v>2</v>
      </c>
      <c r="G44" s="63">
        <v>6</v>
      </c>
      <c r="H44" s="63">
        <v>8</v>
      </c>
      <c r="I44" s="63">
        <v>0.5</v>
      </c>
      <c r="K44" s="65" t="s">
        <v>79</v>
      </c>
      <c r="L44" s="72">
        <v>1</v>
      </c>
      <c r="M44" s="63">
        <v>3</v>
      </c>
      <c r="N44" s="63">
        <v>3</v>
      </c>
      <c r="O44" s="63">
        <v>3</v>
      </c>
      <c r="P44" s="63">
        <v>3</v>
      </c>
      <c r="Q44" s="63">
        <v>0.33329999999999999</v>
      </c>
      <c r="R44" s="63">
        <v>0.33329999999999999</v>
      </c>
      <c r="S44" s="63">
        <v>1</v>
      </c>
    </row>
    <row r="45" spans="1:19" x14ac:dyDescent="0.3">
      <c r="A45" s="65" t="s">
        <v>80</v>
      </c>
      <c r="B45" s="63">
        <v>0.16669999999999999</v>
      </c>
      <c r="C45" s="72">
        <v>1</v>
      </c>
      <c r="D45" s="63">
        <v>1</v>
      </c>
      <c r="E45" s="63">
        <v>0.5</v>
      </c>
      <c r="F45" s="63">
        <v>0.33329999999999999</v>
      </c>
      <c r="G45" s="63">
        <v>1</v>
      </c>
      <c r="H45" s="63">
        <v>1</v>
      </c>
      <c r="I45" s="63">
        <v>0.1111</v>
      </c>
      <c r="K45" s="65" t="s">
        <v>80</v>
      </c>
      <c r="L45" s="63">
        <v>0.33329999999999999</v>
      </c>
      <c r="M45" s="72">
        <v>1</v>
      </c>
      <c r="N45" s="63">
        <v>1</v>
      </c>
      <c r="O45" s="63">
        <v>1</v>
      </c>
      <c r="P45" s="63">
        <v>1</v>
      </c>
      <c r="Q45" s="63">
        <v>0.16669999999999999</v>
      </c>
      <c r="R45" s="63">
        <v>0.1111</v>
      </c>
      <c r="S45" s="63">
        <v>0.25</v>
      </c>
    </row>
    <row r="46" spans="1:19" x14ac:dyDescent="0.3">
      <c r="A46" s="65" t="s">
        <v>81</v>
      </c>
      <c r="B46" s="63">
        <v>0.16669999999999999</v>
      </c>
      <c r="C46" s="63">
        <v>1</v>
      </c>
      <c r="D46" s="72">
        <v>1</v>
      </c>
      <c r="E46" s="63">
        <v>0.5</v>
      </c>
      <c r="F46" s="63">
        <v>0.33329999999999999</v>
      </c>
      <c r="G46" s="63">
        <v>1</v>
      </c>
      <c r="H46" s="63">
        <v>1</v>
      </c>
      <c r="I46" s="63">
        <v>0.1111</v>
      </c>
      <c r="K46" s="65" t="s">
        <v>81</v>
      </c>
      <c r="L46" s="63">
        <v>0.33329999999999999</v>
      </c>
      <c r="M46" s="63">
        <v>1</v>
      </c>
      <c r="N46" s="72">
        <v>1</v>
      </c>
      <c r="O46" s="63">
        <v>1</v>
      </c>
      <c r="P46" s="63">
        <v>1</v>
      </c>
      <c r="Q46" s="63">
        <v>0.16669999999999999</v>
      </c>
      <c r="R46" s="63">
        <v>0.1111</v>
      </c>
      <c r="S46" s="63">
        <v>0.25</v>
      </c>
    </row>
    <row r="47" spans="1:19" ht="31.2" x14ac:dyDescent="0.3">
      <c r="A47" s="65" t="s">
        <v>82</v>
      </c>
      <c r="B47" s="63">
        <v>0.33329999999999999</v>
      </c>
      <c r="C47" s="63">
        <v>2</v>
      </c>
      <c r="D47" s="63">
        <v>2</v>
      </c>
      <c r="E47" s="72">
        <v>1</v>
      </c>
      <c r="F47" s="63">
        <v>1</v>
      </c>
      <c r="G47" s="63">
        <v>2</v>
      </c>
      <c r="H47" s="63">
        <v>3</v>
      </c>
      <c r="I47" s="63">
        <v>0.2</v>
      </c>
      <c r="K47" s="65" t="s">
        <v>82</v>
      </c>
      <c r="L47" s="63">
        <v>0.33329999999999999</v>
      </c>
      <c r="M47" s="63">
        <v>1</v>
      </c>
      <c r="N47" s="63">
        <v>1</v>
      </c>
      <c r="O47" s="72">
        <v>1</v>
      </c>
      <c r="P47" s="63">
        <v>1</v>
      </c>
      <c r="Q47" s="63">
        <v>0.16669999999999999</v>
      </c>
      <c r="R47" s="63">
        <v>0.1111</v>
      </c>
      <c r="S47" s="63">
        <v>0.25</v>
      </c>
    </row>
    <row r="48" spans="1:19" ht="31.2" x14ac:dyDescent="0.3">
      <c r="A48" s="65" t="s">
        <v>83</v>
      </c>
      <c r="B48" s="63">
        <v>0.5</v>
      </c>
      <c r="C48" s="63">
        <v>3</v>
      </c>
      <c r="D48" s="63">
        <v>3</v>
      </c>
      <c r="E48" s="63">
        <v>1</v>
      </c>
      <c r="F48" s="72">
        <v>1</v>
      </c>
      <c r="G48" s="63">
        <v>3</v>
      </c>
      <c r="H48" s="63">
        <v>4</v>
      </c>
      <c r="I48" s="63">
        <v>0.33329999999999999</v>
      </c>
      <c r="K48" s="65" t="s">
        <v>83</v>
      </c>
      <c r="L48" s="63">
        <v>0.33329999999999999</v>
      </c>
      <c r="M48" s="63">
        <v>1</v>
      </c>
      <c r="N48" s="63">
        <v>1</v>
      </c>
      <c r="O48" s="63">
        <v>1</v>
      </c>
      <c r="P48" s="72">
        <v>1</v>
      </c>
      <c r="Q48" s="63">
        <v>0.16669999999999999</v>
      </c>
      <c r="R48" s="63">
        <v>0.1111</v>
      </c>
      <c r="S48" s="63">
        <v>0.25</v>
      </c>
    </row>
    <row r="49" spans="1:19" x14ac:dyDescent="0.3">
      <c r="A49" s="65" t="s">
        <v>84</v>
      </c>
      <c r="B49" s="63">
        <v>0.16669999999999999</v>
      </c>
      <c r="C49" s="63">
        <v>1</v>
      </c>
      <c r="D49" s="63">
        <v>1</v>
      </c>
      <c r="E49" s="63">
        <v>0.5</v>
      </c>
      <c r="F49" s="63">
        <v>0.33329999999999999</v>
      </c>
      <c r="G49" s="72">
        <v>1</v>
      </c>
      <c r="H49" s="63">
        <v>1</v>
      </c>
      <c r="I49" s="63">
        <v>0.1111</v>
      </c>
      <c r="K49" s="65" t="s">
        <v>84</v>
      </c>
      <c r="L49" s="63">
        <v>3</v>
      </c>
      <c r="M49" s="63">
        <v>6</v>
      </c>
      <c r="N49" s="63">
        <v>6</v>
      </c>
      <c r="O49" s="63">
        <v>6</v>
      </c>
      <c r="P49" s="63">
        <v>6</v>
      </c>
      <c r="Q49" s="72">
        <v>1</v>
      </c>
      <c r="R49" s="63">
        <v>1</v>
      </c>
      <c r="S49" s="63">
        <v>2</v>
      </c>
    </row>
    <row r="50" spans="1:19" x14ac:dyDescent="0.3">
      <c r="A50" s="65" t="s">
        <v>77</v>
      </c>
      <c r="B50" s="63">
        <v>0.125</v>
      </c>
      <c r="C50" s="63">
        <v>1</v>
      </c>
      <c r="D50" s="63">
        <v>1</v>
      </c>
      <c r="E50" s="63">
        <v>0.33329999999999999</v>
      </c>
      <c r="F50" s="63">
        <v>0.25</v>
      </c>
      <c r="G50" s="63">
        <v>1</v>
      </c>
      <c r="H50" s="72">
        <v>1</v>
      </c>
      <c r="I50" s="63">
        <v>0.1111</v>
      </c>
      <c r="K50" s="65" t="s">
        <v>77</v>
      </c>
      <c r="L50" s="63">
        <v>3</v>
      </c>
      <c r="M50" s="63">
        <v>9</v>
      </c>
      <c r="N50" s="63">
        <v>9</v>
      </c>
      <c r="O50" s="63">
        <v>9</v>
      </c>
      <c r="P50" s="63">
        <v>9</v>
      </c>
      <c r="Q50" s="63">
        <v>1</v>
      </c>
      <c r="R50" s="72">
        <v>1</v>
      </c>
      <c r="S50" s="63">
        <v>2</v>
      </c>
    </row>
    <row r="51" spans="1:19" x14ac:dyDescent="0.3">
      <c r="A51" s="65" t="s">
        <v>85</v>
      </c>
      <c r="B51" s="63">
        <v>2</v>
      </c>
      <c r="C51" s="63">
        <v>9</v>
      </c>
      <c r="D51" s="63">
        <v>9</v>
      </c>
      <c r="E51" s="63">
        <v>5</v>
      </c>
      <c r="F51" s="63">
        <v>3</v>
      </c>
      <c r="G51" s="63">
        <v>9</v>
      </c>
      <c r="H51" s="63">
        <v>9</v>
      </c>
      <c r="I51" s="72">
        <v>1</v>
      </c>
      <c r="K51" s="65" t="s">
        <v>85</v>
      </c>
      <c r="L51" s="63">
        <v>1</v>
      </c>
      <c r="M51" s="63">
        <v>4</v>
      </c>
      <c r="N51" s="63">
        <v>4</v>
      </c>
      <c r="O51" s="63">
        <v>4</v>
      </c>
      <c r="P51" s="63">
        <v>4</v>
      </c>
      <c r="Q51" s="63">
        <v>0.5</v>
      </c>
      <c r="R51" s="63">
        <v>0.5</v>
      </c>
      <c r="S51" s="72">
        <v>1</v>
      </c>
    </row>
    <row r="52" spans="1:19" x14ac:dyDescent="0.3">
      <c r="A52" s="65" t="s">
        <v>61</v>
      </c>
      <c r="B52" s="63">
        <v>4.4583000000000004</v>
      </c>
      <c r="C52" s="63">
        <v>24</v>
      </c>
      <c r="D52" s="63">
        <v>24</v>
      </c>
      <c r="E52" s="63">
        <v>11.833299999999999</v>
      </c>
      <c r="F52" s="63">
        <v>8.25</v>
      </c>
      <c r="G52" s="63">
        <v>24</v>
      </c>
      <c r="H52" s="63">
        <v>28</v>
      </c>
      <c r="I52" s="63">
        <v>2.4777999999999998</v>
      </c>
      <c r="K52" s="65" t="s">
        <v>61</v>
      </c>
      <c r="L52" s="63">
        <v>9.3332999999999995</v>
      </c>
      <c r="M52" s="63">
        <v>26</v>
      </c>
      <c r="N52" s="63">
        <v>26</v>
      </c>
      <c r="O52" s="63">
        <v>26</v>
      </c>
      <c r="P52" s="63">
        <v>26</v>
      </c>
      <c r="Q52" s="63">
        <v>3.5</v>
      </c>
      <c r="R52" s="63">
        <v>3.2778</v>
      </c>
      <c r="S52" s="63">
        <v>7</v>
      </c>
    </row>
    <row r="55" spans="1:19" ht="31.2" x14ac:dyDescent="0.3">
      <c r="A55" s="67" t="s">
        <v>90</v>
      </c>
      <c r="B55" s="65" t="s">
        <v>71</v>
      </c>
      <c r="C55" s="65" t="s">
        <v>72</v>
      </c>
      <c r="D55" s="65" t="s">
        <v>73</v>
      </c>
      <c r="E55" s="65" t="s">
        <v>74</v>
      </c>
      <c r="F55" s="65" t="s">
        <v>75</v>
      </c>
      <c r="G55" s="65" t="s">
        <v>76</v>
      </c>
      <c r="H55" s="65" t="s">
        <v>77</v>
      </c>
      <c r="I55" s="65" t="s">
        <v>78</v>
      </c>
    </row>
    <row r="56" spans="1:19" x14ac:dyDescent="0.3">
      <c r="A56" s="65" t="s">
        <v>79</v>
      </c>
      <c r="B56" s="72">
        <v>1</v>
      </c>
      <c r="C56" s="63">
        <v>3</v>
      </c>
      <c r="D56" s="63">
        <v>3</v>
      </c>
      <c r="E56" s="63">
        <v>0.33329999999999999</v>
      </c>
      <c r="F56" s="63">
        <v>3</v>
      </c>
      <c r="G56" s="63">
        <v>1</v>
      </c>
      <c r="H56" s="63">
        <v>0.33329999999999999</v>
      </c>
      <c r="I56" s="63">
        <v>2</v>
      </c>
    </row>
    <row r="57" spans="1:19" x14ac:dyDescent="0.3">
      <c r="A57" s="65" t="s">
        <v>80</v>
      </c>
      <c r="B57" s="63">
        <v>0.33329999999999999</v>
      </c>
      <c r="C57" s="72">
        <v>1</v>
      </c>
      <c r="D57" s="63">
        <v>1</v>
      </c>
      <c r="E57" s="63">
        <v>0.16669999999999999</v>
      </c>
      <c r="F57" s="63">
        <v>1</v>
      </c>
      <c r="G57" s="63">
        <v>0.33329999999999999</v>
      </c>
      <c r="H57" s="63">
        <v>0.1111</v>
      </c>
      <c r="I57" s="63">
        <v>1</v>
      </c>
    </row>
    <row r="58" spans="1:19" x14ac:dyDescent="0.3">
      <c r="A58" s="65" t="s">
        <v>81</v>
      </c>
      <c r="B58" s="63">
        <v>0.33329999999999999</v>
      </c>
      <c r="C58" s="63">
        <v>1</v>
      </c>
      <c r="D58" s="72">
        <v>1</v>
      </c>
      <c r="E58" s="63">
        <v>0.16669999999999999</v>
      </c>
      <c r="F58" s="63">
        <v>1</v>
      </c>
      <c r="G58" s="63">
        <v>0.33329999999999999</v>
      </c>
      <c r="H58" s="63">
        <v>0.1111</v>
      </c>
      <c r="I58" s="63">
        <v>1</v>
      </c>
    </row>
    <row r="59" spans="1:19" x14ac:dyDescent="0.3">
      <c r="A59" s="65" t="s">
        <v>82</v>
      </c>
      <c r="B59" s="63">
        <v>3</v>
      </c>
      <c r="C59" s="63">
        <v>6</v>
      </c>
      <c r="D59" s="63">
        <v>6</v>
      </c>
      <c r="E59" s="72">
        <v>1</v>
      </c>
      <c r="F59" s="63">
        <v>6</v>
      </c>
      <c r="G59" s="63">
        <v>2</v>
      </c>
      <c r="H59" s="63">
        <v>1</v>
      </c>
      <c r="I59" s="63">
        <v>5</v>
      </c>
    </row>
    <row r="60" spans="1:19" x14ac:dyDescent="0.3">
      <c r="A60" s="65" t="s">
        <v>83</v>
      </c>
      <c r="B60" s="63">
        <v>0.33329999999999999</v>
      </c>
      <c r="C60" s="63">
        <v>1</v>
      </c>
      <c r="D60" s="63">
        <v>1</v>
      </c>
      <c r="E60" s="63">
        <v>0.16669999999999999</v>
      </c>
      <c r="F60" s="72">
        <v>1</v>
      </c>
      <c r="G60" s="63">
        <v>0.33329999999999999</v>
      </c>
      <c r="H60" s="63">
        <v>0.1111</v>
      </c>
      <c r="I60" s="63">
        <v>1</v>
      </c>
    </row>
    <row r="61" spans="1:19" x14ac:dyDescent="0.3">
      <c r="A61" s="65" t="s">
        <v>84</v>
      </c>
      <c r="B61" s="63">
        <v>1</v>
      </c>
      <c r="C61" s="63">
        <v>3</v>
      </c>
      <c r="D61" s="63">
        <v>3</v>
      </c>
      <c r="E61" s="63">
        <v>0.5</v>
      </c>
      <c r="F61" s="63">
        <v>3</v>
      </c>
      <c r="G61" s="72">
        <v>1</v>
      </c>
      <c r="H61" s="63">
        <v>0.33329999999999999</v>
      </c>
      <c r="I61" s="63">
        <v>3</v>
      </c>
    </row>
    <row r="62" spans="1:19" x14ac:dyDescent="0.3">
      <c r="A62" s="65" t="s">
        <v>77</v>
      </c>
      <c r="B62" s="63">
        <v>3</v>
      </c>
      <c r="C62" s="63">
        <v>9</v>
      </c>
      <c r="D62" s="63">
        <v>9</v>
      </c>
      <c r="E62" s="63">
        <v>1</v>
      </c>
      <c r="F62" s="63">
        <v>9</v>
      </c>
      <c r="G62" s="63">
        <v>3</v>
      </c>
      <c r="H62" s="72">
        <v>1</v>
      </c>
      <c r="I62" s="63">
        <v>7</v>
      </c>
    </row>
    <row r="63" spans="1:19" x14ac:dyDescent="0.3">
      <c r="A63" s="65" t="s">
        <v>85</v>
      </c>
      <c r="B63" s="63">
        <v>0.5</v>
      </c>
      <c r="C63" s="63">
        <v>1</v>
      </c>
      <c r="D63" s="63">
        <v>1</v>
      </c>
      <c r="E63" s="63">
        <v>0.2</v>
      </c>
      <c r="F63" s="63">
        <v>1</v>
      </c>
      <c r="G63" s="63">
        <v>0.33329999999999999</v>
      </c>
      <c r="H63" s="63">
        <v>0.1429</v>
      </c>
      <c r="I63" s="72">
        <v>1</v>
      </c>
    </row>
    <row r="64" spans="1:19" x14ac:dyDescent="0.3">
      <c r="A64" s="65" t="s">
        <v>61</v>
      </c>
      <c r="B64" s="63">
        <v>9.5</v>
      </c>
      <c r="C64" s="63">
        <v>25</v>
      </c>
      <c r="D64" s="63">
        <v>25</v>
      </c>
      <c r="E64" s="63">
        <v>3.5333000000000001</v>
      </c>
      <c r="F64" s="63">
        <v>25</v>
      </c>
      <c r="G64" s="63">
        <v>8.3332999999999995</v>
      </c>
      <c r="H64" s="63">
        <v>3.1429</v>
      </c>
      <c r="I64" s="63">
        <v>21</v>
      </c>
    </row>
    <row r="67" spans="1:21" ht="52.2" customHeight="1" x14ac:dyDescent="0.3">
      <c r="A67" s="80" t="s">
        <v>94</v>
      </c>
      <c r="B67" s="80"/>
      <c r="C67" s="80"/>
      <c r="D67" s="80"/>
      <c r="E67" s="80"/>
      <c r="F67" s="80"/>
      <c r="G67" s="80"/>
      <c r="H67" s="80"/>
      <c r="I67" s="80"/>
      <c r="J67" s="80"/>
      <c r="K67" s="80"/>
      <c r="L67" s="80"/>
      <c r="M67" s="80"/>
      <c r="N67" s="80"/>
      <c r="O67" s="80"/>
      <c r="P67" s="80"/>
      <c r="Q67" s="80"/>
      <c r="R67" s="80"/>
      <c r="S67" s="80"/>
      <c r="T67" s="80"/>
      <c r="U67" s="80"/>
    </row>
    <row r="69" spans="1:21" ht="46.8" x14ac:dyDescent="0.3">
      <c r="A69" s="67" t="s">
        <v>86</v>
      </c>
      <c r="B69" s="65" t="s">
        <v>79</v>
      </c>
      <c r="C69" s="65" t="s">
        <v>80</v>
      </c>
      <c r="D69" s="65" t="s">
        <v>81</v>
      </c>
      <c r="E69" s="65" t="s">
        <v>82</v>
      </c>
      <c r="F69" s="65" t="s">
        <v>83</v>
      </c>
      <c r="G69" s="65" t="s">
        <v>84</v>
      </c>
      <c r="H69" s="65" t="s">
        <v>77</v>
      </c>
      <c r="I69" s="65" t="s">
        <v>85</v>
      </c>
      <c r="J69" s="66" t="s">
        <v>12</v>
      </c>
      <c r="L69" s="67" t="s">
        <v>87</v>
      </c>
      <c r="M69" s="65" t="s">
        <v>79</v>
      </c>
      <c r="N69" s="65" t="s">
        <v>80</v>
      </c>
      <c r="O69" s="65" t="s">
        <v>81</v>
      </c>
      <c r="P69" s="65" t="s">
        <v>82</v>
      </c>
      <c r="Q69" s="65" t="s">
        <v>83</v>
      </c>
      <c r="R69" s="65" t="s">
        <v>84</v>
      </c>
      <c r="S69" s="65" t="s">
        <v>77</v>
      </c>
      <c r="T69" s="65" t="s">
        <v>85</v>
      </c>
      <c r="U69" s="66" t="s">
        <v>12</v>
      </c>
    </row>
    <row r="70" spans="1:21" x14ac:dyDescent="0.3">
      <c r="A70" s="65" t="s">
        <v>79</v>
      </c>
      <c r="B70" s="63">
        <v>0.2762</v>
      </c>
      <c r="C70" s="63">
        <v>0.28100000000000003</v>
      </c>
      <c r="D70" s="63">
        <v>0.28100000000000003</v>
      </c>
      <c r="E70" s="63">
        <v>0.24349999999999999</v>
      </c>
      <c r="F70" s="63">
        <v>0.2762</v>
      </c>
      <c r="G70" s="63">
        <v>0.21</v>
      </c>
      <c r="H70" s="63">
        <v>0.1875</v>
      </c>
      <c r="I70" s="63">
        <v>0.29959999999999998</v>
      </c>
      <c r="J70" s="66">
        <v>0.25690000000000002</v>
      </c>
      <c r="L70" s="65" t="s">
        <v>79</v>
      </c>
      <c r="M70" s="63">
        <v>0.1143</v>
      </c>
      <c r="N70" s="63">
        <v>0.1154</v>
      </c>
      <c r="O70" s="63">
        <v>0.1154</v>
      </c>
      <c r="P70" s="63">
        <v>0.1086</v>
      </c>
      <c r="Q70" s="63">
        <v>0.1101</v>
      </c>
      <c r="R70" s="63">
        <v>0.1154</v>
      </c>
      <c r="S70" s="63">
        <v>0.13789999999999999</v>
      </c>
      <c r="T70" s="63">
        <v>0.15579999999999999</v>
      </c>
      <c r="U70" s="66">
        <v>0.1216</v>
      </c>
    </row>
    <row r="71" spans="1:21" x14ac:dyDescent="0.3">
      <c r="A71" s="65" t="s">
        <v>80</v>
      </c>
      <c r="B71" s="63">
        <v>9.2100000000000001E-2</v>
      </c>
      <c r="C71" s="63">
        <v>9.3700000000000006E-2</v>
      </c>
      <c r="D71" s="63">
        <v>9.3700000000000006E-2</v>
      </c>
      <c r="E71" s="63">
        <v>0.14610000000000001</v>
      </c>
      <c r="F71" s="63">
        <v>9.2100000000000001E-2</v>
      </c>
      <c r="G71" s="63">
        <v>0.15</v>
      </c>
      <c r="H71" s="63">
        <v>0.14580000000000001</v>
      </c>
      <c r="I71" s="63">
        <v>7.4899999999999994E-2</v>
      </c>
      <c r="J71" s="66">
        <v>0.111</v>
      </c>
      <c r="L71" s="65" t="s">
        <v>80</v>
      </c>
      <c r="M71" s="63">
        <v>3.8100000000000002E-2</v>
      </c>
      <c r="N71" s="63">
        <v>3.85E-2</v>
      </c>
      <c r="O71" s="63">
        <v>3.85E-2</v>
      </c>
      <c r="P71" s="63">
        <v>4.07E-2</v>
      </c>
      <c r="Q71" s="63">
        <v>3.6700000000000003E-2</v>
      </c>
      <c r="R71" s="63">
        <v>3.85E-2</v>
      </c>
      <c r="S71" s="63">
        <v>3.4500000000000003E-2</v>
      </c>
      <c r="T71" s="63">
        <v>3.9E-2</v>
      </c>
      <c r="U71" s="66">
        <v>3.7999999999999999E-2</v>
      </c>
    </row>
    <row r="72" spans="1:21" x14ac:dyDescent="0.3">
      <c r="A72" s="65" t="s">
        <v>81</v>
      </c>
      <c r="B72" s="63">
        <v>9.2100000000000001E-2</v>
      </c>
      <c r="C72" s="63">
        <v>9.3700000000000006E-2</v>
      </c>
      <c r="D72" s="63">
        <v>9.3700000000000006E-2</v>
      </c>
      <c r="E72" s="63">
        <v>0.14610000000000001</v>
      </c>
      <c r="F72" s="63">
        <v>9.2100000000000001E-2</v>
      </c>
      <c r="G72" s="63">
        <v>0.15</v>
      </c>
      <c r="H72" s="63">
        <v>0.14580000000000001</v>
      </c>
      <c r="I72" s="63">
        <v>7.4899999999999994E-2</v>
      </c>
      <c r="J72" s="66">
        <v>0.111</v>
      </c>
      <c r="L72" s="65" t="s">
        <v>81</v>
      </c>
      <c r="M72" s="63">
        <v>3.8100000000000002E-2</v>
      </c>
      <c r="N72" s="63">
        <v>3.85E-2</v>
      </c>
      <c r="O72" s="63">
        <v>3.85E-2</v>
      </c>
      <c r="P72" s="63">
        <v>4.07E-2</v>
      </c>
      <c r="Q72" s="63">
        <v>3.6700000000000003E-2</v>
      </c>
      <c r="R72" s="63">
        <v>3.85E-2</v>
      </c>
      <c r="S72" s="63">
        <v>3.4500000000000003E-2</v>
      </c>
      <c r="T72" s="63">
        <v>3.9E-2</v>
      </c>
      <c r="U72" s="66">
        <v>3.7999999999999999E-2</v>
      </c>
    </row>
    <row r="73" spans="1:21" ht="31.2" x14ac:dyDescent="0.3">
      <c r="A73" s="65" t="s">
        <v>82</v>
      </c>
      <c r="B73" s="63">
        <v>5.5199999999999999E-2</v>
      </c>
      <c r="C73" s="63">
        <v>3.1199999999999999E-2</v>
      </c>
      <c r="D73" s="63">
        <v>3.1199999999999999E-2</v>
      </c>
      <c r="E73" s="63">
        <v>4.87E-2</v>
      </c>
      <c r="F73" s="63">
        <v>5.5199999999999999E-2</v>
      </c>
      <c r="G73" s="63">
        <v>0.09</v>
      </c>
      <c r="H73" s="63">
        <v>0.1042</v>
      </c>
      <c r="I73" s="63">
        <v>4.99E-2</v>
      </c>
      <c r="J73" s="66">
        <v>5.8200000000000002E-2</v>
      </c>
      <c r="L73" s="65" t="s">
        <v>82</v>
      </c>
      <c r="M73" s="63">
        <v>0.34289999999999998</v>
      </c>
      <c r="N73" s="63">
        <v>0.30769999999999997</v>
      </c>
      <c r="O73" s="63">
        <v>0.30769999999999997</v>
      </c>
      <c r="P73" s="63">
        <v>0.32579999999999998</v>
      </c>
      <c r="Q73" s="63">
        <v>0.33029999999999998</v>
      </c>
      <c r="R73" s="63">
        <v>0.30769999999999997</v>
      </c>
      <c r="S73" s="63">
        <v>0.31030000000000002</v>
      </c>
      <c r="T73" s="63">
        <v>0.31169999999999998</v>
      </c>
      <c r="U73" s="66">
        <v>0.318</v>
      </c>
    </row>
    <row r="74" spans="1:21" ht="31.2" x14ac:dyDescent="0.3">
      <c r="A74" s="65" t="s">
        <v>83</v>
      </c>
      <c r="B74" s="63">
        <v>0.2762</v>
      </c>
      <c r="C74" s="63">
        <v>0.28100000000000003</v>
      </c>
      <c r="D74" s="63">
        <v>0.28100000000000003</v>
      </c>
      <c r="E74" s="63">
        <v>0.24349999999999999</v>
      </c>
      <c r="F74" s="63">
        <v>0.2762</v>
      </c>
      <c r="G74" s="63">
        <v>0.21</v>
      </c>
      <c r="H74" s="63">
        <v>0.1875</v>
      </c>
      <c r="I74" s="63">
        <v>0.29959999999999998</v>
      </c>
      <c r="J74" s="66">
        <v>0.25690000000000002</v>
      </c>
      <c r="L74" s="65" t="s">
        <v>83</v>
      </c>
      <c r="M74" s="63">
        <v>0.34289999999999998</v>
      </c>
      <c r="N74" s="63">
        <v>0.34620000000000001</v>
      </c>
      <c r="O74" s="63">
        <v>0.34620000000000001</v>
      </c>
      <c r="P74" s="63">
        <v>0.32579999999999998</v>
      </c>
      <c r="Q74" s="63">
        <v>0.33029999999999998</v>
      </c>
      <c r="R74" s="63">
        <v>0.34620000000000001</v>
      </c>
      <c r="S74" s="63">
        <v>0.31030000000000002</v>
      </c>
      <c r="T74" s="63">
        <v>0.31169999999999998</v>
      </c>
      <c r="U74" s="66">
        <v>0.33239999999999997</v>
      </c>
    </row>
    <row r="75" spans="1:21" x14ac:dyDescent="0.3">
      <c r="A75" s="65" t="s">
        <v>84</v>
      </c>
      <c r="B75" s="63">
        <v>3.95E-2</v>
      </c>
      <c r="C75" s="63">
        <v>1.8700000000000001E-2</v>
      </c>
      <c r="D75" s="63">
        <v>1.8700000000000001E-2</v>
      </c>
      <c r="E75" s="63">
        <v>1.6199999999999999E-2</v>
      </c>
      <c r="F75" s="63">
        <v>3.95E-2</v>
      </c>
      <c r="G75" s="63">
        <v>0.03</v>
      </c>
      <c r="H75" s="63">
        <v>6.25E-2</v>
      </c>
      <c r="I75" s="63">
        <v>0.03</v>
      </c>
      <c r="J75" s="66">
        <v>3.1899999999999998E-2</v>
      </c>
      <c r="L75" s="65" t="s">
        <v>84</v>
      </c>
      <c r="M75" s="63">
        <v>3.8100000000000002E-2</v>
      </c>
      <c r="N75" s="63">
        <v>3.85E-2</v>
      </c>
      <c r="O75" s="63">
        <v>3.85E-2</v>
      </c>
      <c r="P75" s="63">
        <v>4.07E-2</v>
      </c>
      <c r="Q75" s="63">
        <v>3.6700000000000003E-2</v>
      </c>
      <c r="R75" s="63">
        <v>3.85E-2</v>
      </c>
      <c r="S75" s="63">
        <v>3.4500000000000003E-2</v>
      </c>
      <c r="T75" s="63">
        <v>3.9E-2</v>
      </c>
      <c r="U75" s="66">
        <v>3.7999999999999999E-2</v>
      </c>
    </row>
    <row r="76" spans="1:21" x14ac:dyDescent="0.3">
      <c r="A76" s="65" t="s">
        <v>77</v>
      </c>
      <c r="B76" s="63">
        <v>3.0700000000000002E-2</v>
      </c>
      <c r="C76" s="63">
        <v>1.34E-2</v>
      </c>
      <c r="D76" s="63">
        <v>1.34E-2</v>
      </c>
      <c r="E76" s="63">
        <v>9.7000000000000003E-3</v>
      </c>
      <c r="F76" s="63">
        <v>3.0700000000000002E-2</v>
      </c>
      <c r="G76" s="63">
        <v>0.01</v>
      </c>
      <c r="H76" s="63">
        <v>2.0799999999999999E-2</v>
      </c>
      <c r="I76" s="63">
        <v>2.1399999999999999E-2</v>
      </c>
      <c r="J76" s="66">
        <v>1.8800000000000001E-2</v>
      </c>
      <c r="L76" s="65" t="s">
        <v>77</v>
      </c>
      <c r="M76" s="63">
        <v>2.86E-2</v>
      </c>
      <c r="N76" s="63">
        <v>3.85E-2</v>
      </c>
      <c r="O76" s="63">
        <v>3.85E-2</v>
      </c>
      <c r="P76" s="63">
        <v>3.6200000000000003E-2</v>
      </c>
      <c r="Q76" s="63">
        <v>3.6700000000000003E-2</v>
      </c>
      <c r="R76" s="63">
        <v>3.85E-2</v>
      </c>
      <c r="S76" s="63">
        <v>3.4500000000000003E-2</v>
      </c>
      <c r="T76" s="63">
        <v>2.5999999999999999E-2</v>
      </c>
      <c r="U76" s="66">
        <v>3.4700000000000002E-2</v>
      </c>
    </row>
    <row r="77" spans="1:21" x14ac:dyDescent="0.3">
      <c r="A77" s="65" t="s">
        <v>85</v>
      </c>
      <c r="B77" s="63">
        <v>0.1381</v>
      </c>
      <c r="C77" s="63">
        <v>0.18729999999999999</v>
      </c>
      <c r="D77" s="63">
        <v>0.18729999999999999</v>
      </c>
      <c r="E77" s="63">
        <v>0.14610000000000001</v>
      </c>
      <c r="F77" s="63">
        <v>0.1381</v>
      </c>
      <c r="G77" s="63">
        <v>0.15</v>
      </c>
      <c r="H77" s="63">
        <v>0.14580000000000001</v>
      </c>
      <c r="I77" s="63">
        <v>0.14979999999999999</v>
      </c>
      <c r="J77" s="66">
        <v>0.15529999999999999</v>
      </c>
      <c r="L77" s="65" t="s">
        <v>85</v>
      </c>
      <c r="M77" s="63">
        <v>5.7099999999999998E-2</v>
      </c>
      <c r="N77" s="63">
        <v>7.6899999999999996E-2</v>
      </c>
      <c r="O77" s="63">
        <v>7.6899999999999996E-2</v>
      </c>
      <c r="P77" s="63">
        <v>8.14E-2</v>
      </c>
      <c r="Q77" s="63">
        <v>8.2600000000000007E-2</v>
      </c>
      <c r="R77" s="63">
        <v>7.6899999999999996E-2</v>
      </c>
      <c r="S77" s="63">
        <v>0.10340000000000001</v>
      </c>
      <c r="T77" s="63">
        <v>7.7899999999999997E-2</v>
      </c>
      <c r="U77" s="66">
        <v>7.9200000000000007E-2</v>
      </c>
    </row>
    <row r="78" spans="1:21" x14ac:dyDescent="0.3">
      <c r="A78" s="73" t="s">
        <v>65</v>
      </c>
      <c r="B78" s="73" t="s">
        <v>66</v>
      </c>
      <c r="L78" s="73" t="s">
        <v>65</v>
      </c>
      <c r="M78" s="73" t="s">
        <v>66</v>
      </c>
    </row>
    <row r="79" spans="1:21" x14ac:dyDescent="0.3">
      <c r="A79" s="66" t="s">
        <v>67</v>
      </c>
      <c r="B79" s="70">
        <v>8.4267000000000003</v>
      </c>
      <c r="L79" s="66" t="s">
        <v>67</v>
      </c>
      <c r="M79" s="70">
        <v>8.0352999999999994</v>
      </c>
    </row>
    <row r="80" spans="1:21" x14ac:dyDescent="0.3">
      <c r="A80" s="66" t="s">
        <v>6</v>
      </c>
      <c r="B80" s="70">
        <f>(B79-8)/7</f>
        <v>6.0957142857142897E-2</v>
      </c>
      <c r="L80" s="66" t="s">
        <v>6</v>
      </c>
      <c r="M80" s="70">
        <f>(M79-8)/7</f>
        <v>5.0428571428570634E-3</v>
      </c>
    </row>
    <row r="81" spans="1:21" x14ac:dyDescent="0.3">
      <c r="A81" s="66" t="s">
        <v>92</v>
      </c>
      <c r="B81" s="70">
        <v>1.41</v>
      </c>
      <c r="L81" s="66" t="s">
        <v>92</v>
      </c>
      <c r="M81" s="70">
        <v>1.41</v>
      </c>
    </row>
    <row r="82" spans="1:21" ht="16.8" x14ac:dyDescent="0.3">
      <c r="A82" s="66" t="s">
        <v>7</v>
      </c>
      <c r="B82" s="70">
        <f>B80/B81</f>
        <v>4.3232016210739646E-2</v>
      </c>
      <c r="C82" s="20" t="s">
        <v>8</v>
      </c>
      <c r="L82" s="66" t="s">
        <v>7</v>
      </c>
      <c r="M82" s="70">
        <f>M80/M81</f>
        <v>3.576494427558201E-3</v>
      </c>
      <c r="N82" s="20" t="s">
        <v>8</v>
      </c>
    </row>
    <row r="84" spans="1:21" ht="46.8" x14ac:dyDescent="0.3">
      <c r="A84" s="67" t="s">
        <v>88</v>
      </c>
      <c r="B84" s="65" t="s">
        <v>79</v>
      </c>
      <c r="C84" s="65" t="s">
        <v>80</v>
      </c>
      <c r="D84" s="65" t="s">
        <v>81</v>
      </c>
      <c r="E84" s="65" t="s">
        <v>82</v>
      </c>
      <c r="F84" s="65" t="s">
        <v>83</v>
      </c>
      <c r="G84" s="65" t="s">
        <v>84</v>
      </c>
      <c r="H84" s="65" t="s">
        <v>77</v>
      </c>
      <c r="I84" s="65" t="s">
        <v>85</v>
      </c>
      <c r="J84" s="66" t="s">
        <v>12</v>
      </c>
      <c r="L84" s="67" t="s">
        <v>89</v>
      </c>
      <c r="M84" s="65" t="s">
        <v>79</v>
      </c>
      <c r="N84" s="65" t="s">
        <v>80</v>
      </c>
      <c r="O84" s="65" t="s">
        <v>81</v>
      </c>
      <c r="P84" s="65" t="s">
        <v>82</v>
      </c>
      <c r="Q84" s="65" t="s">
        <v>83</v>
      </c>
      <c r="R84" s="65" t="s">
        <v>84</v>
      </c>
      <c r="S84" s="65" t="s">
        <v>77</v>
      </c>
      <c r="T84" s="65" t="s">
        <v>85</v>
      </c>
      <c r="U84" s="66" t="s">
        <v>12</v>
      </c>
    </row>
    <row r="85" spans="1:21" x14ac:dyDescent="0.3">
      <c r="A85" s="65" t="s">
        <v>79</v>
      </c>
      <c r="B85" s="63">
        <v>0.2243</v>
      </c>
      <c r="C85" s="63">
        <v>0.25</v>
      </c>
      <c r="D85" s="63">
        <v>0.25</v>
      </c>
      <c r="E85" s="63">
        <v>0.2535</v>
      </c>
      <c r="F85" s="63">
        <v>0.2424</v>
      </c>
      <c r="G85" s="63">
        <v>0.25</v>
      </c>
      <c r="H85" s="63">
        <v>0.28570000000000001</v>
      </c>
      <c r="I85" s="63">
        <v>0.20180000000000001</v>
      </c>
      <c r="J85" s="66">
        <v>0.2447</v>
      </c>
      <c r="L85" s="65" t="s">
        <v>79</v>
      </c>
      <c r="M85" s="63">
        <v>0.1071</v>
      </c>
      <c r="N85" s="63">
        <v>0.1154</v>
      </c>
      <c r="O85" s="63">
        <v>0.1154</v>
      </c>
      <c r="P85" s="63">
        <v>0.1154</v>
      </c>
      <c r="Q85" s="63">
        <v>0.1154</v>
      </c>
      <c r="R85" s="63">
        <v>9.5200000000000007E-2</v>
      </c>
      <c r="S85" s="63">
        <v>0.1017</v>
      </c>
      <c r="T85" s="63">
        <v>0.1429</v>
      </c>
      <c r="U85" s="66">
        <v>0.11360000000000001</v>
      </c>
    </row>
    <row r="86" spans="1:21" x14ac:dyDescent="0.3">
      <c r="A86" s="65" t="s">
        <v>80</v>
      </c>
      <c r="B86" s="63">
        <v>3.7400000000000003E-2</v>
      </c>
      <c r="C86" s="63">
        <v>4.1700000000000001E-2</v>
      </c>
      <c r="D86" s="63">
        <v>4.1700000000000001E-2</v>
      </c>
      <c r="E86" s="63">
        <v>4.2299999999999997E-2</v>
      </c>
      <c r="F86" s="63">
        <v>4.0399999999999998E-2</v>
      </c>
      <c r="G86" s="63">
        <v>4.1700000000000001E-2</v>
      </c>
      <c r="H86" s="63">
        <v>3.5700000000000003E-2</v>
      </c>
      <c r="I86" s="63">
        <v>4.48E-2</v>
      </c>
      <c r="J86" s="66">
        <v>4.07E-2</v>
      </c>
      <c r="L86" s="65" t="s">
        <v>80</v>
      </c>
      <c r="M86" s="63">
        <v>3.5700000000000003E-2</v>
      </c>
      <c r="N86" s="63">
        <v>3.85E-2</v>
      </c>
      <c r="O86" s="63">
        <v>3.85E-2</v>
      </c>
      <c r="P86" s="63">
        <v>3.85E-2</v>
      </c>
      <c r="Q86" s="63">
        <v>3.85E-2</v>
      </c>
      <c r="R86" s="63">
        <v>4.7600000000000003E-2</v>
      </c>
      <c r="S86" s="63">
        <v>3.39E-2</v>
      </c>
      <c r="T86" s="63">
        <v>3.5700000000000003E-2</v>
      </c>
      <c r="U86" s="66">
        <v>3.8300000000000001E-2</v>
      </c>
    </row>
    <row r="87" spans="1:21" x14ac:dyDescent="0.3">
      <c r="A87" s="65" t="s">
        <v>81</v>
      </c>
      <c r="B87" s="63">
        <v>3.7400000000000003E-2</v>
      </c>
      <c r="C87" s="63">
        <v>4.1700000000000001E-2</v>
      </c>
      <c r="D87" s="63">
        <v>4.1700000000000001E-2</v>
      </c>
      <c r="E87" s="63">
        <v>4.2299999999999997E-2</v>
      </c>
      <c r="F87" s="63">
        <v>4.0399999999999998E-2</v>
      </c>
      <c r="G87" s="63">
        <v>4.1700000000000001E-2</v>
      </c>
      <c r="H87" s="63">
        <v>3.5700000000000003E-2</v>
      </c>
      <c r="I87" s="63">
        <v>4.48E-2</v>
      </c>
      <c r="J87" s="66">
        <v>4.07E-2</v>
      </c>
      <c r="L87" s="65" t="s">
        <v>81</v>
      </c>
      <c r="M87" s="63">
        <v>3.5700000000000003E-2</v>
      </c>
      <c r="N87" s="63">
        <v>3.85E-2</v>
      </c>
      <c r="O87" s="63">
        <v>3.85E-2</v>
      </c>
      <c r="P87" s="63">
        <v>3.85E-2</v>
      </c>
      <c r="Q87" s="63">
        <v>3.85E-2</v>
      </c>
      <c r="R87" s="63">
        <v>4.7600000000000003E-2</v>
      </c>
      <c r="S87" s="63">
        <v>3.39E-2</v>
      </c>
      <c r="T87" s="63">
        <v>3.5700000000000003E-2</v>
      </c>
      <c r="U87" s="66">
        <v>3.8300000000000001E-2</v>
      </c>
    </row>
    <row r="88" spans="1:21" ht="31.2" x14ac:dyDescent="0.3">
      <c r="A88" s="65" t="s">
        <v>82</v>
      </c>
      <c r="B88" s="63">
        <v>7.4800000000000005E-2</v>
      </c>
      <c r="C88" s="63">
        <v>8.3299999999999999E-2</v>
      </c>
      <c r="D88" s="63">
        <v>8.3299999999999999E-2</v>
      </c>
      <c r="E88" s="63">
        <v>8.4500000000000006E-2</v>
      </c>
      <c r="F88" s="63">
        <v>0.1212</v>
      </c>
      <c r="G88" s="63">
        <v>8.3299999999999999E-2</v>
      </c>
      <c r="H88" s="63">
        <v>0.1071</v>
      </c>
      <c r="I88" s="63">
        <v>8.0699999999999994E-2</v>
      </c>
      <c r="J88" s="66">
        <v>8.9800000000000005E-2</v>
      </c>
      <c r="L88" s="65" t="s">
        <v>82</v>
      </c>
      <c r="M88" s="63">
        <v>3.5700000000000003E-2</v>
      </c>
      <c r="N88" s="63">
        <v>3.85E-2</v>
      </c>
      <c r="O88" s="63">
        <v>3.85E-2</v>
      </c>
      <c r="P88" s="63">
        <v>3.85E-2</v>
      </c>
      <c r="Q88" s="63">
        <v>3.85E-2</v>
      </c>
      <c r="R88" s="63">
        <v>4.7600000000000003E-2</v>
      </c>
      <c r="S88" s="63">
        <v>3.39E-2</v>
      </c>
      <c r="T88" s="63">
        <v>3.5700000000000003E-2</v>
      </c>
      <c r="U88" s="66">
        <v>3.8300000000000001E-2</v>
      </c>
    </row>
    <row r="89" spans="1:21" ht="31.2" x14ac:dyDescent="0.3">
      <c r="A89" s="65" t="s">
        <v>83</v>
      </c>
      <c r="B89" s="63">
        <v>0.11210000000000001</v>
      </c>
      <c r="C89" s="63">
        <v>0.125</v>
      </c>
      <c r="D89" s="63">
        <v>0.125</v>
      </c>
      <c r="E89" s="63">
        <v>8.4500000000000006E-2</v>
      </c>
      <c r="F89" s="63">
        <v>0.1212</v>
      </c>
      <c r="G89" s="63">
        <v>0.125</v>
      </c>
      <c r="H89" s="63">
        <v>0.1429</v>
      </c>
      <c r="I89" s="63">
        <v>0.13450000000000001</v>
      </c>
      <c r="J89" s="66">
        <v>0.12130000000000001</v>
      </c>
      <c r="L89" s="65" t="s">
        <v>83</v>
      </c>
      <c r="M89" s="63">
        <v>3.5700000000000003E-2</v>
      </c>
      <c r="N89" s="63">
        <v>3.85E-2</v>
      </c>
      <c r="O89" s="63">
        <v>3.85E-2</v>
      </c>
      <c r="P89" s="63">
        <v>3.85E-2</v>
      </c>
      <c r="Q89" s="63">
        <v>3.85E-2</v>
      </c>
      <c r="R89" s="63">
        <v>4.7600000000000003E-2</v>
      </c>
      <c r="S89" s="63">
        <v>3.39E-2</v>
      </c>
      <c r="T89" s="63">
        <v>3.5700000000000003E-2</v>
      </c>
      <c r="U89" s="66">
        <v>3.8300000000000001E-2</v>
      </c>
    </row>
    <row r="90" spans="1:21" x14ac:dyDescent="0.3">
      <c r="A90" s="65" t="s">
        <v>84</v>
      </c>
      <c r="B90" s="63">
        <v>3.7400000000000003E-2</v>
      </c>
      <c r="C90" s="63">
        <v>4.1700000000000001E-2</v>
      </c>
      <c r="D90" s="63">
        <v>4.1700000000000001E-2</v>
      </c>
      <c r="E90" s="63">
        <v>4.2299999999999997E-2</v>
      </c>
      <c r="F90" s="63">
        <v>4.0399999999999998E-2</v>
      </c>
      <c r="G90" s="63">
        <v>4.1700000000000001E-2</v>
      </c>
      <c r="H90" s="63">
        <v>3.5700000000000003E-2</v>
      </c>
      <c r="I90" s="63">
        <v>4.48E-2</v>
      </c>
      <c r="J90" s="66">
        <v>4.07E-2</v>
      </c>
      <c r="L90" s="65" t="s">
        <v>84</v>
      </c>
      <c r="M90" s="63">
        <v>0.32140000000000002</v>
      </c>
      <c r="N90" s="63">
        <v>0.23080000000000001</v>
      </c>
      <c r="O90" s="63">
        <v>0.23080000000000001</v>
      </c>
      <c r="P90" s="63">
        <v>0.23080000000000001</v>
      </c>
      <c r="Q90" s="63">
        <v>0.23080000000000001</v>
      </c>
      <c r="R90" s="63">
        <v>0.28570000000000001</v>
      </c>
      <c r="S90" s="63">
        <v>0.30509999999999998</v>
      </c>
      <c r="T90" s="63">
        <v>0.28570000000000001</v>
      </c>
      <c r="U90" s="66">
        <v>0.2651</v>
      </c>
    </row>
    <row r="91" spans="1:21" x14ac:dyDescent="0.3">
      <c r="A91" s="65" t="s">
        <v>77</v>
      </c>
      <c r="B91" s="63">
        <v>2.8000000000000001E-2</v>
      </c>
      <c r="C91" s="63">
        <v>4.1700000000000001E-2</v>
      </c>
      <c r="D91" s="63">
        <v>4.1700000000000001E-2</v>
      </c>
      <c r="E91" s="63">
        <v>2.8199999999999999E-2</v>
      </c>
      <c r="F91" s="63">
        <v>3.0300000000000001E-2</v>
      </c>
      <c r="G91" s="63">
        <v>4.1700000000000001E-2</v>
      </c>
      <c r="H91" s="63">
        <v>3.5700000000000003E-2</v>
      </c>
      <c r="I91" s="63">
        <v>4.48E-2</v>
      </c>
      <c r="J91" s="66">
        <v>3.6499999999999998E-2</v>
      </c>
      <c r="L91" s="65" t="s">
        <v>77</v>
      </c>
      <c r="M91" s="63">
        <v>0.32140000000000002</v>
      </c>
      <c r="N91" s="63">
        <v>0.34620000000000001</v>
      </c>
      <c r="O91" s="63">
        <v>0.34620000000000001</v>
      </c>
      <c r="P91" s="63">
        <v>0.34620000000000001</v>
      </c>
      <c r="Q91" s="63">
        <v>0.34620000000000001</v>
      </c>
      <c r="R91" s="63">
        <v>0.28570000000000001</v>
      </c>
      <c r="S91" s="63">
        <v>0.30509999999999998</v>
      </c>
      <c r="T91" s="63">
        <v>0.28570000000000001</v>
      </c>
      <c r="U91" s="66">
        <v>0.32279999999999998</v>
      </c>
    </row>
    <row r="92" spans="1:21" x14ac:dyDescent="0.3">
      <c r="A92" s="65" t="s">
        <v>85</v>
      </c>
      <c r="B92" s="63">
        <v>0.4486</v>
      </c>
      <c r="C92" s="63">
        <v>0.375</v>
      </c>
      <c r="D92" s="63">
        <v>0.375</v>
      </c>
      <c r="E92" s="63">
        <v>0.42249999999999999</v>
      </c>
      <c r="F92" s="63">
        <v>0.36359999999999998</v>
      </c>
      <c r="G92" s="63">
        <v>0.375</v>
      </c>
      <c r="H92" s="63">
        <v>0.32140000000000002</v>
      </c>
      <c r="I92" s="63">
        <v>0.40360000000000001</v>
      </c>
      <c r="J92" s="66">
        <v>0.3856</v>
      </c>
      <c r="L92" s="65" t="s">
        <v>85</v>
      </c>
      <c r="M92" s="63">
        <v>0.1071</v>
      </c>
      <c r="N92" s="63">
        <v>0.15379999999999999</v>
      </c>
      <c r="O92" s="63">
        <v>0.15379999999999999</v>
      </c>
      <c r="P92" s="63">
        <v>0.15379999999999999</v>
      </c>
      <c r="Q92" s="63">
        <v>0.15379999999999999</v>
      </c>
      <c r="R92" s="63">
        <v>0.1429</v>
      </c>
      <c r="S92" s="63">
        <v>0.1525</v>
      </c>
      <c r="T92" s="63">
        <v>0.1429</v>
      </c>
      <c r="U92" s="66">
        <v>0.14510000000000001</v>
      </c>
    </row>
    <row r="93" spans="1:21" x14ac:dyDescent="0.3">
      <c r="A93" s="73" t="s">
        <v>65</v>
      </c>
      <c r="B93" s="73" t="s">
        <v>66</v>
      </c>
      <c r="L93" s="73" t="s">
        <v>65</v>
      </c>
      <c r="M93" s="73" t="s">
        <v>66</v>
      </c>
    </row>
    <row r="94" spans="1:21" x14ac:dyDescent="0.3">
      <c r="A94" s="66" t="s">
        <v>67</v>
      </c>
      <c r="B94" s="70">
        <v>8.0622000000000007</v>
      </c>
      <c r="L94" s="66" t="s">
        <v>67</v>
      </c>
      <c r="M94" s="70">
        <v>8.0498999999999992</v>
      </c>
    </row>
    <row r="95" spans="1:21" x14ac:dyDescent="0.3">
      <c r="A95" s="66" t="s">
        <v>6</v>
      </c>
      <c r="B95" s="70">
        <f>(B94-8)/7</f>
        <v>8.8857142857143856E-3</v>
      </c>
      <c r="L95" s="66" t="s">
        <v>6</v>
      </c>
      <c r="M95" s="70">
        <f>(M94-8)/7</f>
        <v>7.1285714285713097E-3</v>
      </c>
    </row>
    <row r="96" spans="1:21" x14ac:dyDescent="0.3">
      <c r="A96" s="66" t="s">
        <v>92</v>
      </c>
      <c r="B96" s="70">
        <v>1.41</v>
      </c>
      <c r="L96" s="66" t="s">
        <v>92</v>
      </c>
      <c r="M96" s="70">
        <v>1.41</v>
      </c>
    </row>
    <row r="97" spans="1:14" ht="16.8" x14ac:dyDescent="0.3">
      <c r="A97" s="66" t="s">
        <v>7</v>
      </c>
      <c r="B97" s="70">
        <f>B95/B96</f>
        <v>6.3019250253293522E-3</v>
      </c>
      <c r="C97" s="20" t="s">
        <v>8</v>
      </c>
      <c r="L97" s="66" t="s">
        <v>7</v>
      </c>
      <c r="M97" s="70">
        <f>M95/M96</f>
        <v>5.0557244174264607E-3</v>
      </c>
      <c r="N97" s="20" t="s">
        <v>8</v>
      </c>
    </row>
    <row r="99" spans="1:14" ht="31.2" x14ac:dyDescent="0.3">
      <c r="A99" s="67" t="s">
        <v>90</v>
      </c>
      <c r="B99" s="65" t="s">
        <v>79</v>
      </c>
      <c r="C99" s="65" t="s">
        <v>80</v>
      </c>
      <c r="D99" s="65" t="s">
        <v>81</v>
      </c>
      <c r="E99" s="65" t="s">
        <v>82</v>
      </c>
      <c r="F99" s="65" t="s">
        <v>83</v>
      </c>
      <c r="G99" s="65" t="s">
        <v>84</v>
      </c>
      <c r="H99" s="65" t="s">
        <v>77</v>
      </c>
      <c r="I99" s="65" t="s">
        <v>85</v>
      </c>
      <c r="J99" s="66" t="s">
        <v>12</v>
      </c>
    </row>
    <row r="100" spans="1:14" x14ac:dyDescent="0.3">
      <c r="A100" s="65" t="s">
        <v>79</v>
      </c>
      <c r="B100" s="63">
        <v>0.1053</v>
      </c>
      <c r="C100" s="63">
        <v>0.12</v>
      </c>
      <c r="D100" s="63">
        <v>0.12</v>
      </c>
      <c r="E100" s="63">
        <v>9.4299999999999995E-2</v>
      </c>
      <c r="F100" s="63">
        <v>0.12</v>
      </c>
      <c r="G100" s="63">
        <v>0.12</v>
      </c>
      <c r="H100" s="63">
        <v>0.1061</v>
      </c>
      <c r="I100" s="63">
        <v>9.5200000000000007E-2</v>
      </c>
      <c r="J100" s="66">
        <v>0.1101</v>
      </c>
    </row>
    <row r="101" spans="1:14" x14ac:dyDescent="0.3">
      <c r="A101" s="65" t="s">
        <v>80</v>
      </c>
      <c r="B101" s="63">
        <v>3.5099999999999999E-2</v>
      </c>
      <c r="C101" s="63">
        <v>0.04</v>
      </c>
      <c r="D101" s="63">
        <v>0.04</v>
      </c>
      <c r="E101" s="63">
        <v>4.7199999999999999E-2</v>
      </c>
      <c r="F101" s="63">
        <v>0.04</v>
      </c>
      <c r="G101" s="63">
        <v>0.04</v>
      </c>
      <c r="H101" s="63">
        <v>3.5400000000000001E-2</v>
      </c>
      <c r="I101" s="63">
        <v>4.7600000000000003E-2</v>
      </c>
      <c r="J101" s="66">
        <v>4.07E-2</v>
      </c>
    </row>
    <row r="102" spans="1:14" x14ac:dyDescent="0.3">
      <c r="A102" s="65" t="s">
        <v>81</v>
      </c>
      <c r="B102" s="63">
        <v>3.5099999999999999E-2</v>
      </c>
      <c r="C102" s="63">
        <v>0.04</v>
      </c>
      <c r="D102" s="63">
        <v>0.04</v>
      </c>
      <c r="E102" s="63">
        <v>4.7199999999999999E-2</v>
      </c>
      <c r="F102" s="63">
        <v>0.04</v>
      </c>
      <c r="G102" s="63">
        <v>0.04</v>
      </c>
      <c r="H102" s="63">
        <v>3.5400000000000001E-2</v>
      </c>
      <c r="I102" s="63">
        <v>4.7600000000000003E-2</v>
      </c>
      <c r="J102" s="66">
        <v>4.07E-2</v>
      </c>
    </row>
    <row r="103" spans="1:14" x14ac:dyDescent="0.3">
      <c r="A103" s="65" t="s">
        <v>82</v>
      </c>
      <c r="B103" s="63">
        <v>0.31580000000000003</v>
      </c>
      <c r="C103" s="63">
        <v>0.24</v>
      </c>
      <c r="D103" s="63">
        <v>0.24</v>
      </c>
      <c r="E103" s="63">
        <v>0.28299999999999997</v>
      </c>
      <c r="F103" s="63">
        <v>0.24</v>
      </c>
      <c r="G103" s="63">
        <v>0.24</v>
      </c>
      <c r="H103" s="63">
        <v>0.31819999999999998</v>
      </c>
      <c r="I103" s="63">
        <v>0.23810000000000001</v>
      </c>
      <c r="J103" s="66">
        <v>0.26440000000000002</v>
      </c>
    </row>
    <row r="104" spans="1:14" x14ac:dyDescent="0.3">
      <c r="A104" s="65" t="s">
        <v>83</v>
      </c>
      <c r="B104" s="63">
        <v>3.5099999999999999E-2</v>
      </c>
      <c r="C104" s="63">
        <v>0.04</v>
      </c>
      <c r="D104" s="63">
        <v>0.04</v>
      </c>
      <c r="E104" s="63">
        <v>4.7199999999999999E-2</v>
      </c>
      <c r="F104" s="63">
        <v>0.04</v>
      </c>
      <c r="G104" s="63">
        <v>0.04</v>
      </c>
      <c r="H104" s="63">
        <v>3.5400000000000001E-2</v>
      </c>
      <c r="I104" s="63">
        <v>4.7600000000000003E-2</v>
      </c>
      <c r="J104" s="66">
        <v>4.07E-2</v>
      </c>
    </row>
    <row r="105" spans="1:14" x14ac:dyDescent="0.3">
      <c r="A105" s="65" t="s">
        <v>84</v>
      </c>
      <c r="B105" s="63">
        <v>0.1053</v>
      </c>
      <c r="C105" s="63">
        <v>0.12</v>
      </c>
      <c r="D105" s="63">
        <v>0.12</v>
      </c>
      <c r="E105" s="63">
        <v>0.14149999999999999</v>
      </c>
      <c r="F105" s="63">
        <v>0.12</v>
      </c>
      <c r="G105" s="63">
        <v>0.12</v>
      </c>
      <c r="H105" s="63">
        <v>0.1061</v>
      </c>
      <c r="I105" s="63">
        <v>0.1429</v>
      </c>
      <c r="J105" s="66">
        <v>0.122</v>
      </c>
    </row>
    <row r="106" spans="1:14" x14ac:dyDescent="0.3">
      <c r="A106" s="65" t="s">
        <v>77</v>
      </c>
      <c r="B106" s="63">
        <v>0.31580000000000003</v>
      </c>
      <c r="C106" s="63">
        <v>0.36</v>
      </c>
      <c r="D106" s="63">
        <v>0.36</v>
      </c>
      <c r="E106" s="63">
        <v>0.28299999999999997</v>
      </c>
      <c r="F106" s="63">
        <v>0.36</v>
      </c>
      <c r="G106" s="63">
        <v>0.36</v>
      </c>
      <c r="H106" s="63">
        <v>0.31819999999999998</v>
      </c>
      <c r="I106" s="63">
        <v>0.33329999999999999</v>
      </c>
      <c r="J106" s="66">
        <v>0.33629999999999999</v>
      </c>
    </row>
    <row r="107" spans="1:14" x14ac:dyDescent="0.3">
      <c r="A107" s="65" t="s">
        <v>85</v>
      </c>
      <c r="B107" s="63">
        <v>5.2600000000000001E-2</v>
      </c>
      <c r="C107" s="63">
        <v>0.04</v>
      </c>
      <c r="D107" s="63">
        <v>0.04</v>
      </c>
      <c r="E107" s="63">
        <v>5.6599999999999998E-2</v>
      </c>
      <c r="F107" s="63">
        <v>0.04</v>
      </c>
      <c r="G107" s="63">
        <v>0.04</v>
      </c>
      <c r="H107" s="63">
        <v>4.5499999999999999E-2</v>
      </c>
      <c r="I107" s="63">
        <v>4.7600000000000003E-2</v>
      </c>
      <c r="J107" s="66">
        <v>4.53E-2</v>
      </c>
    </row>
    <row r="108" spans="1:14" x14ac:dyDescent="0.3">
      <c r="A108" s="73" t="s">
        <v>65</v>
      </c>
      <c r="B108" s="73" t="s">
        <v>66</v>
      </c>
    </row>
    <row r="109" spans="1:14" x14ac:dyDescent="0.3">
      <c r="A109" s="66" t="s">
        <v>67</v>
      </c>
      <c r="B109" s="70">
        <v>8.0535999999999994</v>
      </c>
    </row>
    <row r="110" spans="1:14" x14ac:dyDescent="0.3">
      <c r="A110" s="66" t="s">
        <v>6</v>
      </c>
      <c r="B110" s="70">
        <f>(B109-8)/7</f>
        <v>7.6571428571427748E-3</v>
      </c>
    </row>
    <row r="111" spans="1:14" x14ac:dyDescent="0.3">
      <c r="A111" s="66" t="s">
        <v>92</v>
      </c>
      <c r="B111" s="70">
        <v>1.41</v>
      </c>
    </row>
    <row r="112" spans="1:14" ht="16.8" x14ac:dyDescent="0.3">
      <c r="A112" s="66" t="s">
        <v>7</v>
      </c>
      <c r="B112" s="70">
        <f>B110/B111</f>
        <v>5.4305977710232449E-3</v>
      </c>
      <c r="C112" s="20" t="s">
        <v>8</v>
      </c>
    </row>
    <row r="114" spans="1:17" ht="46.8" customHeight="1" x14ac:dyDescent="0.3">
      <c r="A114" s="76" t="s">
        <v>95</v>
      </c>
      <c r="B114" s="76"/>
      <c r="C114" s="76"/>
      <c r="D114" s="76"/>
      <c r="E114" s="76"/>
      <c r="F114" s="76"/>
      <c r="G114" s="76"/>
      <c r="H114" s="76"/>
      <c r="I114" s="76"/>
      <c r="J114" s="76"/>
      <c r="K114" s="76"/>
      <c r="L114" s="76"/>
      <c r="M114" s="76"/>
    </row>
    <row r="115" spans="1:17" ht="16.8" x14ac:dyDescent="0.3">
      <c r="A115" s="20" t="s">
        <v>18</v>
      </c>
      <c r="B115" s="20"/>
      <c r="C115" s="20"/>
      <c r="D115" s="74"/>
      <c r="E115" s="74"/>
      <c r="F115" s="74"/>
      <c r="G115" s="74"/>
      <c r="H115" s="20" t="s">
        <v>19</v>
      </c>
      <c r="I115" s="20"/>
      <c r="J115" s="74"/>
      <c r="K115" s="20" t="s">
        <v>21</v>
      </c>
      <c r="L115" s="20"/>
    </row>
    <row r="116" spans="1:17" ht="31.2" x14ac:dyDescent="0.3">
      <c r="A116" s="67"/>
      <c r="B116" s="67" t="s">
        <v>56</v>
      </c>
      <c r="C116" s="67" t="s">
        <v>57</v>
      </c>
      <c r="D116" s="67" t="s">
        <v>58</v>
      </c>
      <c r="E116" s="67" t="s">
        <v>59</v>
      </c>
      <c r="F116" s="67" t="s">
        <v>60</v>
      </c>
      <c r="H116" s="66" t="s">
        <v>20</v>
      </c>
      <c r="I116" s="66" t="s">
        <v>62</v>
      </c>
      <c r="K116" s="26" t="s">
        <v>22</v>
      </c>
      <c r="L116" s="26" t="s">
        <v>12</v>
      </c>
      <c r="M116" s="26" t="s">
        <v>26</v>
      </c>
    </row>
    <row r="117" spans="1:17" ht="16.8" x14ac:dyDescent="0.3">
      <c r="A117" s="67" t="s">
        <v>79</v>
      </c>
      <c r="B117" s="63">
        <v>0.25690000000000002</v>
      </c>
      <c r="C117" s="63">
        <v>0.1216</v>
      </c>
      <c r="D117" s="63">
        <v>0.2447</v>
      </c>
      <c r="E117" s="63">
        <v>0.11360000000000001</v>
      </c>
      <c r="F117" s="63">
        <v>0.1101</v>
      </c>
      <c r="H117" s="64" t="s">
        <v>56</v>
      </c>
      <c r="I117" s="75">
        <v>0.35970000000000002</v>
      </c>
      <c r="K117" s="64" t="s">
        <v>79</v>
      </c>
      <c r="L117" s="59" cm="1">
        <f t="array" ref="L117">SUMPRODUCT(B117:F117,TRANSPOSE($I$117:$I$121))</f>
        <v>0.18907012000000001</v>
      </c>
      <c r="M117" s="6">
        <v>2</v>
      </c>
    </row>
    <row r="118" spans="1:17" ht="31.2" x14ac:dyDescent="0.3">
      <c r="A118" s="67" t="s">
        <v>80</v>
      </c>
      <c r="B118" s="63">
        <v>0.111</v>
      </c>
      <c r="C118" s="63">
        <v>3.7999999999999999E-2</v>
      </c>
      <c r="D118" s="63">
        <v>4.07E-2</v>
      </c>
      <c r="E118" s="63">
        <v>3.8300000000000001E-2</v>
      </c>
      <c r="F118" s="63">
        <v>4.07E-2</v>
      </c>
      <c r="H118" s="64" t="s">
        <v>57</v>
      </c>
      <c r="I118" s="75">
        <v>0.35970000000000002</v>
      </c>
      <c r="K118" s="64" t="s">
        <v>80</v>
      </c>
      <c r="L118" s="59" cm="1">
        <f t="array" ref="L118">SUMPRODUCT(B118:F118,TRANSPOSE($I$117:$I$121))</f>
        <v>6.4822530000000017E-2</v>
      </c>
      <c r="M118" s="6">
        <v>5</v>
      </c>
    </row>
    <row r="119" spans="1:17" ht="16.8" x14ac:dyDescent="0.3">
      <c r="A119" s="67" t="s">
        <v>81</v>
      </c>
      <c r="B119" s="63">
        <v>0.111</v>
      </c>
      <c r="C119" s="63">
        <v>3.7999999999999999E-2</v>
      </c>
      <c r="D119" s="63">
        <v>4.07E-2</v>
      </c>
      <c r="E119" s="63">
        <v>3.8300000000000001E-2</v>
      </c>
      <c r="F119" s="63">
        <v>4.07E-2</v>
      </c>
      <c r="H119" s="64" t="s">
        <v>58</v>
      </c>
      <c r="I119" s="75">
        <v>0.16170000000000001</v>
      </c>
      <c r="K119" s="64" t="s">
        <v>81</v>
      </c>
      <c r="L119" s="59" cm="1">
        <f t="array" ref="L119">SUMPRODUCT(B119:F119,TRANSPOSE($I$117:$I$121))</f>
        <v>6.4822530000000017E-2</v>
      </c>
      <c r="M119" s="6">
        <v>5</v>
      </c>
    </row>
    <row r="120" spans="1:17" ht="31.2" x14ac:dyDescent="0.3">
      <c r="A120" s="67" t="s">
        <v>82</v>
      </c>
      <c r="B120" s="63">
        <v>5.8200000000000002E-2</v>
      </c>
      <c r="C120" s="63">
        <v>0.318</v>
      </c>
      <c r="D120" s="63">
        <v>8.9800000000000005E-2</v>
      </c>
      <c r="E120" s="63">
        <v>3.8300000000000001E-2</v>
      </c>
      <c r="F120" s="63">
        <v>0.26440000000000002</v>
      </c>
      <c r="H120" s="64" t="s">
        <v>59</v>
      </c>
      <c r="I120" s="75">
        <v>7.8799999999999995E-2</v>
      </c>
      <c r="K120" s="64" t="s">
        <v>82</v>
      </c>
      <c r="L120" s="59" cm="1">
        <f t="array" ref="L120">SUMPRODUCT(B120:F120,TRANSPOSE($I$117:$I$121))</f>
        <v>0.16343384</v>
      </c>
      <c r="M120" s="6">
        <v>3</v>
      </c>
    </row>
    <row r="121" spans="1:17" ht="31.2" x14ac:dyDescent="0.3">
      <c r="A121" s="67" t="s">
        <v>83</v>
      </c>
      <c r="B121" s="63">
        <v>0.25690000000000002</v>
      </c>
      <c r="C121" s="63">
        <v>0.33239999999999997</v>
      </c>
      <c r="D121" s="63">
        <v>0.12130000000000001</v>
      </c>
      <c r="E121" s="63">
        <v>3.8300000000000001E-2</v>
      </c>
      <c r="F121" s="63">
        <v>4.07E-2</v>
      </c>
      <c r="H121" s="64" t="s">
        <v>60</v>
      </c>
      <c r="I121" s="75">
        <v>0.04</v>
      </c>
      <c r="K121" s="64" t="s">
        <v>83</v>
      </c>
      <c r="L121" s="59" cm="1">
        <f t="array" ref="L121">SUMPRODUCT(B121:F121,TRANSPOSE($I$117:$I$121))</f>
        <v>0.23623146</v>
      </c>
      <c r="M121" s="63">
        <v>1</v>
      </c>
      <c r="O121" s="77" t="s">
        <v>93</v>
      </c>
      <c r="P121" s="77"/>
      <c r="Q121" s="77"/>
    </row>
    <row r="122" spans="1:17" ht="16.8" x14ac:dyDescent="0.3">
      <c r="A122" s="67" t="s">
        <v>84</v>
      </c>
      <c r="B122" s="63">
        <v>3.1899999999999998E-2</v>
      </c>
      <c r="C122" s="63">
        <v>3.7999999999999999E-2</v>
      </c>
      <c r="D122" s="63">
        <v>4.07E-2</v>
      </c>
      <c r="E122" s="63">
        <v>0.2651</v>
      </c>
      <c r="F122" s="63">
        <v>0.122</v>
      </c>
      <c r="K122" s="64" t="s">
        <v>84</v>
      </c>
      <c r="L122" s="59" cm="1">
        <f t="array" ref="L122">SUMPRODUCT(B122:F122,TRANSPOSE($I$117:$I$121))</f>
        <v>5.7494099999999999E-2</v>
      </c>
      <c r="M122" s="63">
        <v>7</v>
      </c>
    </row>
    <row r="123" spans="1:17" ht="16.8" x14ac:dyDescent="0.3">
      <c r="A123" s="67" t="s">
        <v>77</v>
      </c>
      <c r="B123" s="63">
        <v>1.8800000000000001E-2</v>
      </c>
      <c r="C123" s="63">
        <v>3.4700000000000002E-2</v>
      </c>
      <c r="D123" s="63">
        <v>3.6499999999999998E-2</v>
      </c>
      <c r="E123" s="63">
        <v>0.32279999999999998</v>
      </c>
      <c r="F123" s="63">
        <v>0.33629999999999999</v>
      </c>
      <c r="K123" s="64" t="s">
        <v>77</v>
      </c>
      <c r="L123" s="59" cm="1">
        <f t="array" ref="L123">SUMPRODUCT(B123:F123,TRANSPOSE($I$117:$I$121))</f>
        <v>6.4034640000000004E-2</v>
      </c>
      <c r="M123" s="63">
        <v>8</v>
      </c>
    </row>
    <row r="124" spans="1:17" ht="16.8" x14ac:dyDescent="0.3">
      <c r="A124" s="67" t="s">
        <v>85</v>
      </c>
      <c r="B124" s="63">
        <v>0.15529999999999999</v>
      </c>
      <c r="C124" s="63">
        <v>7.9200000000000007E-2</v>
      </c>
      <c r="D124" s="63">
        <v>0.3856</v>
      </c>
      <c r="E124" s="63">
        <v>0.14510000000000001</v>
      </c>
      <c r="F124" s="63">
        <v>4.53E-2</v>
      </c>
      <c r="K124" s="64" t="s">
        <v>85</v>
      </c>
      <c r="L124" s="59" cm="1">
        <f t="array" ref="L124">SUMPRODUCT(B124:F124,TRANSPOSE($I$117:$I$121))</f>
        <v>0.15994705000000001</v>
      </c>
      <c r="M124" s="63">
        <v>4</v>
      </c>
    </row>
  </sheetData>
  <mergeCells count="9">
    <mergeCell ref="A114:M114"/>
    <mergeCell ref="I1:N9"/>
    <mergeCell ref="O121:Q121"/>
    <mergeCell ref="A12:G12"/>
    <mergeCell ref="A21:G21"/>
    <mergeCell ref="A2:F2"/>
    <mergeCell ref="A29:S29"/>
    <mergeCell ref="A67:U67"/>
    <mergeCell ref="O1:S9"/>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J124"/>
  <sheetViews>
    <sheetView topLeftCell="A54" zoomScale="70" zoomScaleNormal="70" workbookViewId="0">
      <selection activeCell="B119" sqref="B119:L119"/>
    </sheetView>
  </sheetViews>
  <sheetFormatPr defaultColWidth="9.109375" defaultRowHeight="16.8" x14ac:dyDescent="0.3"/>
  <cols>
    <col min="1" max="1" width="9.109375" style="2"/>
    <col min="2" max="2" width="11.88671875" style="2" customWidth="1"/>
    <col min="3" max="3" width="11.5546875" style="2" customWidth="1"/>
    <col min="4" max="4" width="10.44140625" style="2" customWidth="1"/>
    <col min="5" max="5" width="10.33203125" style="2" customWidth="1"/>
    <col min="6" max="6" width="11.33203125" style="2" bestFit="1" customWidth="1"/>
    <col min="7" max="7" width="12.109375" style="2" customWidth="1"/>
    <col min="8" max="8" width="11.44140625" style="2" customWidth="1"/>
    <col min="9" max="9" width="10.6640625" style="2" customWidth="1"/>
    <col min="10" max="10" width="10.5546875" style="2" customWidth="1"/>
    <col min="11" max="11" width="11.6640625" style="2" customWidth="1"/>
    <col min="12" max="12" width="11.5546875" style="2" customWidth="1"/>
    <col min="13" max="13" width="10.44140625" style="2" customWidth="1"/>
    <col min="14" max="14" width="12.33203125" style="10" customWidth="1"/>
    <col min="15" max="15" width="11.109375" style="2" customWidth="1"/>
    <col min="16" max="16" width="10.6640625" style="2" customWidth="1"/>
    <col min="17" max="17" width="11.44140625" style="2" customWidth="1"/>
    <col min="18" max="19" width="9.109375" style="2"/>
    <col min="20" max="20" width="12.6640625" style="2" customWidth="1"/>
    <col min="21" max="22" width="11.33203125" style="2" customWidth="1"/>
    <col min="23" max="23" width="11.88671875" style="2" customWidth="1"/>
    <col min="24" max="24" width="11.109375" style="2" customWidth="1"/>
    <col min="25" max="25" width="9.109375" style="2"/>
    <col min="26" max="26" width="11.88671875" style="2" customWidth="1"/>
    <col min="27" max="28" width="9.109375" style="2"/>
    <col min="29" max="29" width="13.33203125" style="2" customWidth="1"/>
    <col min="30" max="30" width="11.33203125" style="2" customWidth="1"/>
    <col min="31" max="31" width="11" style="2" customWidth="1"/>
    <col min="32" max="32" width="11.33203125" style="2" customWidth="1"/>
    <col min="33" max="33" width="11.109375" style="2" customWidth="1"/>
    <col min="34" max="34" width="9.109375" style="2"/>
    <col min="35" max="35" width="11.33203125" style="2" customWidth="1"/>
    <col min="36" max="16384" width="9.109375" style="2"/>
  </cols>
  <sheetData>
    <row r="1" spans="2:19" x14ac:dyDescent="0.3">
      <c r="B1" s="9" t="s">
        <v>45</v>
      </c>
      <c r="C1" s="1"/>
      <c r="D1" s="1"/>
      <c r="E1" s="1"/>
      <c r="F1" s="1"/>
      <c r="G1" s="1"/>
      <c r="H1" s="1"/>
      <c r="I1" s="1"/>
      <c r="J1" s="1"/>
      <c r="P1" s="82" t="s">
        <v>55</v>
      </c>
      <c r="Q1" s="82"/>
      <c r="R1" s="82"/>
      <c r="S1" s="82"/>
    </row>
    <row r="2" spans="2:19" x14ac:dyDescent="0.3">
      <c r="B2" s="9"/>
      <c r="C2" s="1"/>
      <c r="D2" s="1"/>
      <c r="E2" s="1"/>
      <c r="F2" s="1"/>
      <c r="G2" s="1"/>
      <c r="H2" s="1"/>
      <c r="I2" s="1"/>
      <c r="J2" s="1"/>
      <c r="P2" s="82"/>
      <c r="Q2" s="82"/>
      <c r="R2" s="82"/>
      <c r="S2" s="82"/>
    </row>
    <row r="3" spans="2:19" x14ac:dyDescent="0.3">
      <c r="B3" s="7" t="s">
        <v>0</v>
      </c>
      <c r="C3" s="7" t="s">
        <v>33</v>
      </c>
      <c r="D3" s="7" t="s">
        <v>34</v>
      </c>
      <c r="E3" s="7" t="s">
        <v>37</v>
      </c>
      <c r="F3" s="7" t="s">
        <v>39</v>
      </c>
      <c r="P3" s="82"/>
      <c r="Q3" s="82"/>
      <c r="R3" s="82"/>
      <c r="S3" s="82"/>
    </row>
    <row r="4" spans="2:19" x14ac:dyDescent="0.3">
      <c r="B4" s="7" t="s">
        <v>41</v>
      </c>
      <c r="C4" s="45">
        <v>9</v>
      </c>
      <c r="D4" s="45">
        <v>6</v>
      </c>
      <c r="E4" s="45">
        <v>6</v>
      </c>
      <c r="F4" s="45">
        <v>2</v>
      </c>
    </row>
    <row r="5" spans="2:19" x14ac:dyDescent="0.3">
      <c r="B5" s="7" t="s">
        <v>42</v>
      </c>
      <c r="C5" s="45">
        <v>4</v>
      </c>
      <c r="D5" s="45">
        <v>5</v>
      </c>
      <c r="E5" s="45">
        <v>5</v>
      </c>
      <c r="F5" s="45">
        <v>9</v>
      </c>
    </row>
    <row r="6" spans="2:19" x14ac:dyDescent="0.3">
      <c r="B6" s="7" t="s">
        <v>43</v>
      </c>
      <c r="C6" s="45">
        <v>5</v>
      </c>
      <c r="D6" s="45">
        <v>5</v>
      </c>
      <c r="E6" s="45">
        <v>9</v>
      </c>
      <c r="F6" s="45">
        <v>3</v>
      </c>
    </row>
    <row r="7" spans="2:19" x14ac:dyDescent="0.3">
      <c r="B7" s="7" t="s">
        <v>44</v>
      </c>
      <c r="C7" s="45">
        <v>6</v>
      </c>
      <c r="D7" s="45">
        <v>9</v>
      </c>
      <c r="E7" s="45">
        <v>6</v>
      </c>
      <c r="F7" s="45">
        <v>2</v>
      </c>
    </row>
    <row r="8" spans="2:19" x14ac:dyDescent="0.3">
      <c r="M8" s="8"/>
      <c r="N8" s="2"/>
    </row>
    <row r="9" spans="2:19" x14ac:dyDescent="0.3">
      <c r="B9" s="8" t="s">
        <v>23</v>
      </c>
    </row>
    <row r="10" spans="2:19" x14ac:dyDescent="0.3">
      <c r="B10" s="8"/>
      <c r="C10" s="8"/>
      <c r="D10" s="8"/>
    </row>
    <row r="11" spans="2:19" x14ac:dyDescent="0.3">
      <c r="B11" s="11"/>
      <c r="C11" s="11" t="s">
        <v>33</v>
      </c>
      <c r="D11" s="11" t="s">
        <v>34</v>
      </c>
      <c r="E11" s="11" t="s">
        <v>37</v>
      </c>
      <c r="F11" s="11" t="s">
        <v>39</v>
      </c>
    </row>
    <row r="12" spans="2:19" x14ac:dyDescent="0.3">
      <c r="B12" s="11" t="s">
        <v>33</v>
      </c>
      <c r="C12" s="47">
        <v>1</v>
      </c>
      <c r="D12" s="46">
        <v>3</v>
      </c>
      <c r="E12" s="46">
        <v>5</v>
      </c>
      <c r="F12" s="46">
        <v>9</v>
      </c>
    </row>
    <row r="13" spans="2:19" x14ac:dyDescent="0.3">
      <c r="B13" s="11" t="s">
        <v>34</v>
      </c>
      <c r="C13" s="46" t="s">
        <v>3</v>
      </c>
      <c r="D13" s="47">
        <v>1</v>
      </c>
      <c r="E13" s="46" t="s">
        <v>46</v>
      </c>
      <c r="F13" s="46" t="s">
        <v>47</v>
      </c>
    </row>
    <row r="14" spans="2:19" x14ac:dyDescent="0.3">
      <c r="B14" s="11" t="s">
        <v>37</v>
      </c>
      <c r="C14" s="46" t="s">
        <v>1</v>
      </c>
      <c r="D14" s="46" t="s">
        <v>3</v>
      </c>
      <c r="E14" s="47">
        <v>1</v>
      </c>
      <c r="F14" s="46" t="s">
        <v>48</v>
      </c>
    </row>
    <row r="15" spans="2:19" x14ac:dyDescent="0.3">
      <c r="B15" s="11" t="s">
        <v>39</v>
      </c>
      <c r="C15" s="46" t="s">
        <v>49</v>
      </c>
      <c r="D15" s="46" t="s">
        <v>2</v>
      </c>
      <c r="E15" s="46" t="s">
        <v>1</v>
      </c>
      <c r="F15" s="47">
        <v>1</v>
      </c>
    </row>
    <row r="18" spans="2:10" x14ac:dyDescent="0.3">
      <c r="B18" s="8" t="s">
        <v>4</v>
      </c>
      <c r="C18" s="8"/>
      <c r="E18" s="10"/>
    </row>
    <row r="19" spans="2:10" x14ac:dyDescent="0.3">
      <c r="B19" s="11"/>
      <c r="C19" s="13" t="s">
        <v>33</v>
      </c>
      <c r="D19" s="13" t="s">
        <v>34</v>
      </c>
      <c r="E19" s="13" t="s">
        <v>37</v>
      </c>
      <c r="F19" s="13" t="s">
        <v>39</v>
      </c>
    </row>
    <row r="20" spans="2:10" x14ac:dyDescent="0.3">
      <c r="B20" s="11" t="s">
        <v>33</v>
      </c>
      <c r="C20" s="12">
        <v>1</v>
      </c>
      <c r="D20" s="3">
        <v>3</v>
      </c>
      <c r="E20" s="3">
        <v>5</v>
      </c>
      <c r="F20" s="3">
        <v>9</v>
      </c>
    </row>
    <row r="21" spans="2:10" x14ac:dyDescent="0.3">
      <c r="B21" s="11" t="s">
        <v>34</v>
      </c>
      <c r="C21" s="3">
        <f>ROUND(1/3,4)</f>
        <v>0.33329999999999999</v>
      </c>
      <c r="D21" s="12">
        <v>1</v>
      </c>
      <c r="E21" s="3">
        <f>ROUND(3,4)</f>
        <v>3</v>
      </c>
      <c r="F21" s="3">
        <v>7</v>
      </c>
    </row>
    <row r="22" spans="2:10" x14ac:dyDescent="0.3">
      <c r="B22" s="11" t="s">
        <v>37</v>
      </c>
      <c r="C22" s="3">
        <f>ROUND(1/5,4)</f>
        <v>0.2</v>
      </c>
      <c r="D22" s="3">
        <f>1/3</f>
        <v>0.33333333333333331</v>
      </c>
      <c r="E22" s="12">
        <v>1</v>
      </c>
      <c r="F22" s="3">
        <v>5</v>
      </c>
    </row>
    <row r="23" spans="2:10" x14ac:dyDescent="0.3">
      <c r="B23" s="11" t="s">
        <v>39</v>
      </c>
      <c r="C23" s="3">
        <f>ROUND(1/9,4)</f>
        <v>0.1111</v>
      </c>
      <c r="D23" s="3">
        <f>ROUND(1/7,4)</f>
        <v>0.1429</v>
      </c>
      <c r="E23" s="3">
        <f>ROUND(1/5,4)</f>
        <v>0.2</v>
      </c>
      <c r="F23" s="12">
        <v>1</v>
      </c>
    </row>
    <row r="24" spans="2:10" x14ac:dyDescent="0.3">
      <c r="B24" s="14" t="s">
        <v>24</v>
      </c>
      <c r="C24" s="15">
        <f>SUM(C20:C23)</f>
        <v>1.6443999999999999</v>
      </c>
      <c r="D24" s="15">
        <f t="shared" ref="D24:E24" si="0">SUM(D20:D23)</f>
        <v>4.4762333333333331</v>
      </c>
      <c r="E24" s="15">
        <f t="shared" si="0"/>
        <v>9.1999999999999993</v>
      </c>
      <c r="F24" s="15">
        <f>SUM(F20:F23)</f>
        <v>22</v>
      </c>
    </row>
    <row r="26" spans="2:10" x14ac:dyDescent="0.3">
      <c r="B26" s="8" t="s">
        <v>9</v>
      </c>
      <c r="C26" s="8"/>
      <c r="D26" s="8"/>
      <c r="E26" s="8"/>
      <c r="F26" s="8"/>
      <c r="G26" s="8"/>
      <c r="H26" s="8"/>
    </row>
    <row r="27" spans="2:10" x14ac:dyDescent="0.3">
      <c r="B27" s="14" t="s">
        <v>24</v>
      </c>
      <c r="C27" s="15">
        <f>SUM(C23:C26)</f>
        <v>1.7554999999999998</v>
      </c>
      <c r="D27" s="15">
        <f t="shared" ref="D27:F27" si="1">SUM(D23:D26)</f>
        <v>4.6191333333333331</v>
      </c>
      <c r="E27" s="15">
        <f t="shared" si="1"/>
        <v>9.3999999999999986</v>
      </c>
      <c r="F27" s="15">
        <f t="shared" si="1"/>
        <v>23</v>
      </c>
    </row>
    <row r="28" spans="2:10" ht="33.6" x14ac:dyDescent="0.3">
      <c r="B28" s="16"/>
      <c r="C28" s="13" t="s">
        <v>33</v>
      </c>
      <c r="D28" s="13" t="s">
        <v>34</v>
      </c>
      <c r="E28" s="13" t="s">
        <v>37</v>
      </c>
      <c r="F28" s="13" t="s">
        <v>39</v>
      </c>
      <c r="G28" s="42" t="s">
        <v>25</v>
      </c>
      <c r="H28" s="40" t="s">
        <v>26</v>
      </c>
    </row>
    <row r="29" spans="2:10" x14ac:dyDescent="0.3">
      <c r="B29" s="13" t="s">
        <v>33</v>
      </c>
      <c r="C29" s="3">
        <f>ROUND(C20/C27,4)</f>
        <v>0.5696</v>
      </c>
      <c r="D29" s="3">
        <f>ROUND(D20/D27,4)</f>
        <v>0.64949999999999997</v>
      </c>
      <c r="E29" s="3">
        <f>ROUND(E20/E27,4)</f>
        <v>0.53190000000000004</v>
      </c>
      <c r="F29" s="3">
        <f t="shared" ref="F29" si="2">ROUND(F20/F27,4)</f>
        <v>0.39129999999999998</v>
      </c>
      <c r="G29" s="18">
        <f>ROUND(AVERAGE(C29:F29),4)</f>
        <v>0.53559999999999997</v>
      </c>
      <c r="H29" s="17">
        <v>1</v>
      </c>
      <c r="J29" s="2" t="s">
        <v>27</v>
      </c>
    </row>
    <row r="30" spans="2:10" x14ac:dyDescent="0.3">
      <c r="B30" s="13" t="s">
        <v>34</v>
      </c>
      <c r="C30" s="3">
        <f>ROUND(C21/C27,4)</f>
        <v>0.18990000000000001</v>
      </c>
      <c r="D30" s="3">
        <f t="shared" ref="D30:F30" si="3">ROUND(D21/D27,4)</f>
        <v>0.2165</v>
      </c>
      <c r="E30" s="3">
        <f t="shared" si="3"/>
        <v>0.31909999999999999</v>
      </c>
      <c r="F30" s="3">
        <f t="shared" si="3"/>
        <v>0.30430000000000001</v>
      </c>
      <c r="G30" s="18">
        <f t="shared" ref="G30:G32" si="4">ROUND(AVERAGE(C30:F30),4)</f>
        <v>0.25750000000000001</v>
      </c>
      <c r="H30" s="17">
        <v>2</v>
      </c>
      <c r="J30" s="2" t="s">
        <v>28</v>
      </c>
    </row>
    <row r="31" spans="2:10" x14ac:dyDescent="0.3">
      <c r="B31" s="13" t="s">
        <v>37</v>
      </c>
      <c r="C31" s="3">
        <f>ROUND(C22/C24,4)</f>
        <v>0.1216</v>
      </c>
      <c r="D31" s="3">
        <f t="shared" ref="D31:F31" si="5">ROUND(D22/D24,4)</f>
        <v>7.4499999999999997E-2</v>
      </c>
      <c r="E31" s="3">
        <f t="shared" si="5"/>
        <v>0.1087</v>
      </c>
      <c r="F31" s="3">
        <f t="shared" si="5"/>
        <v>0.2273</v>
      </c>
      <c r="G31" s="18">
        <f t="shared" si="4"/>
        <v>0.13300000000000001</v>
      </c>
      <c r="H31" s="17">
        <v>3</v>
      </c>
    </row>
    <row r="32" spans="2:10" x14ac:dyDescent="0.3">
      <c r="B32" s="13" t="s">
        <v>39</v>
      </c>
      <c r="C32" s="3">
        <f>ROUND(C23/C24,4)</f>
        <v>6.7599999999999993E-2</v>
      </c>
      <c r="D32" s="3">
        <f t="shared" ref="D32:F32" si="6">ROUND(D23/D24,4)</f>
        <v>3.1899999999999998E-2</v>
      </c>
      <c r="E32" s="3">
        <f t="shared" si="6"/>
        <v>2.1700000000000001E-2</v>
      </c>
      <c r="F32" s="3">
        <f t="shared" si="6"/>
        <v>4.5499999999999999E-2</v>
      </c>
      <c r="G32" s="18">
        <f t="shared" si="4"/>
        <v>4.1700000000000001E-2</v>
      </c>
      <c r="H32" s="17">
        <v>4</v>
      </c>
    </row>
    <row r="33" spans="2:14" x14ac:dyDescent="0.3">
      <c r="G33" s="9">
        <f>SUM(G29:G32)</f>
        <v>0.96779999999999988</v>
      </c>
    </row>
    <row r="34" spans="2:14" x14ac:dyDescent="0.3">
      <c r="G34" s="9"/>
    </row>
    <row r="35" spans="2:14" ht="33.6" x14ac:dyDescent="0.3">
      <c r="B35" s="42" t="s">
        <v>25</v>
      </c>
      <c r="C35" s="19">
        <v>0.53559999999999997</v>
      </c>
      <c r="D35" s="19">
        <v>0.25750000000000001</v>
      </c>
      <c r="E35" s="19">
        <v>0.13300000000000001</v>
      </c>
      <c r="F35" s="19">
        <v>4.1700000000000001E-2</v>
      </c>
      <c r="G35" s="9"/>
    </row>
    <row r="36" spans="2:14" ht="50.4" x14ac:dyDescent="0.3">
      <c r="B36" s="21"/>
      <c r="C36" s="4" t="s">
        <v>33</v>
      </c>
      <c r="D36" s="4" t="s">
        <v>34</v>
      </c>
      <c r="E36" s="4" t="s">
        <v>37</v>
      </c>
      <c r="F36" s="4" t="s">
        <v>39</v>
      </c>
      <c r="G36" s="43" t="s">
        <v>29</v>
      </c>
      <c r="H36" s="44" t="s">
        <v>30</v>
      </c>
      <c r="I36" s="34"/>
    </row>
    <row r="37" spans="2:14" x14ac:dyDescent="0.3">
      <c r="B37" s="4" t="s">
        <v>33</v>
      </c>
      <c r="C37" s="6">
        <f>ROUND((C20*$C$35),4)</f>
        <v>0.53559999999999997</v>
      </c>
      <c r="D37" s="6">
        <f>ROUND((D20*$D$35),4)</f>
        <v>0.77249999999999996</v>
      </c>
      <c r="E37" s="6">
        <f>ROUND((E20*$E$35),4)</f>
        <v>0.66500000000000004</v>
      </c>
      <c r="F37" s="6">
        <f>ROUND((F12*$F$35),4)</f>
        <v>0.37530000000000002</v>
      </c>
      <c r="G37" s="23">
        <f>SUM(C37:F37)</f>
        <v>2.3484000000000003</v>
      </c>
      <c r="H37" s="33">
        <f>ROUND((G37/C35),4)</f>
        <v>4.3845999999999998</v>
      </c>
      <c r="I37" s="32"/>
    </row>
    <row r="38" spans="2:14" x14ac:dyDescent="0.3">
      <c r="B38" s="4" t="s">
        <v>34</v>
      </c>
      <c r="C38" s="6">
        <f t="shared" ref="C38:C40" si="7">ROUND((C21*$C$35),4)</f>
        <v>0.17849999999999999</v>
      </c>
      <c r="D38" s="6">
        <f t="shared" ref="D38:D40" si="8">ROUND((D21*$D$35),4)</f>
        <v>0.25750000000000001</v>
      </c>
      <c r="E38" s="6">
        <f t="shared" ref="E38:E40" si="9">ROUND((E21*$E$35),4)</f>
        <v>0.39900000000000002</v>
      </c>
      <c r="F38" s="6">
        <f t="shared" ref="F38:F40" si="10">ROUND((F13*$F$35),4)</f>
        <v>0.29189999999999999</v>
      </c>
      <c r="G38" s="23">
        <f t="shared" ref="G38:G40" si="11">SUM(C38:F38)</f>
        <v>1.1269</v>
      </c>
      <c r="H38" s="33">
        <f>ROUND((G38/D35),4)</f>
        <v>4.3762999999999996</v>
      </c>
      <c r="I38" s="32"/>
    </row>
    <row r="39" spans="2:14" x14ac:dyDescent="0.3">
      <c r="B39" s="4" t="s">
        <v>37</v>
      </c>
      <c r="C39" s="6">
        <f t="shared" si="7"/>
        <v>0.1071</v>
      </c>
      <c r="D39" s="6">
        <f t="shared" si="8"/>
        <v>8.5800000000000001E-2</v>
      </c>
      <c r="E39" s="6">
        <f t="shared" si="9"/>
        <v>0.13300000000000001</v>
      </c>
      <c r="F39" s="6">
        <f t="shared" si="10"/>
        <v>0.20849999999999999</v>
      </c>
      <c r="G39" s="23">
        <f t="shared" si="11"/>
        <v>0.53439999999999999</v>
      </c>
      <c r="H39" s="33">
        <f>ROUND((G39/E35),4)</f>
        <v>4.0179999999999998</v>
      </c>
      <c r="I39" s="32"/>
    </row>
    <row r="40" spans="2:14" x14ac:dyDescent="0.3">
      <c r="B40" s="4" t="s">
        <v>39</v>
      </c>
      <c r="C40" s="6">
        <f t="shared" si="7"/>
        <v>5.9499999999999997E-2</v>
      </c>
      <c r="D40" s="6">
        <f t="shared" si="8"/>
        <v>3.6799999999999999E-2</v>
      </c>
      <c r="E40" s="6">
        <f t="shared" si="9"/>
        <v>2.6599999999999999E-2</v>
      </c>
      <c r="F40" s="6">
        <f t="shared" si="10"/>
        <v>4.1700000000000001E-2</v>
      </c>
      <c r="G40" s="23">
        <f t="shared" si="11"/>
        <v>0.1646</v>
      </c>
      <c r="H40" s="33">
        <f>ROUND((G40/F35),4)</f>
        <v>3.9472</v>
      </c>
      <c r="I40" s="32"/>
    </row>
    <row r="41" spans="2:14" x14ac:dyDescent="0.3">
      <c r="G41" s="9" t="s">
        <v>31</v>
      </c>
      <c r="H41" s="2">
        <f>ROUND(AVERAGE(H37:H40),4)</f>
        <v>4.1814999999999998</v>
      </c>
    </row>
    <row r="42" spans="2:14" x14ac:dyDescent="0.3">
      <c r="G42" s="9" t="s">
        <v>32</v>
      </c>
      <c r="H42" s="2">
        <v>4</v>
      </c>
    </row>
    <row r="43" spans="2:14" x14ac:dyDescent="0.3">
      <c r="G43" s="8" t="s">
        <v>6</v>
      </c>
      <c r="H43" s="2">
        <f>ROUND((H41-4)/(4-1),4)</f>
        <v>6.0499999999999998E-2</v>
      </c>
    </row>
    <row r="44" spans="2:14" x14ac:dyDescent="0.3">
      <c r="B44" s="35"/>
      <c r="C44" s="36"/>
      <c r="D44" s="36"/>
      <c r="E44" s="36"/>
      <c r="F44" s="36"/>
      <c r="G44" s="8" t="s">
        <v>7</v>
      </c>
      <c r="H44" s="2">
        <f>ROUND((H43/0.9),4)</f>
        <v>6.7199999999999996E-2</v>
      </c>
      <c r="I44" s="20" t="s">
        <v>8</v>
      </c>
      <c r="J44" s="20"/>
      <c r="K44" s="20"/>
      <c r="L44" s="20"/>
      <c r="M44" s="20"/>
    </row>
    <row r="45" spans="2:14" x14ac:dyDescent="0.3">
      <c r="B45" s="37"/>
      <c r="C45" s="38"/>
      <c r="D45" s="38"/>
      <c r="E45" s="38"/>
      <c r="F45" s="38"/>
      <c r="I45" s="38"/>
      <c r="J45" s="38"/>
      <c r="K45" s="38"/>
      <c r="L45" s="38"/>
      <c r="M45" s="38"/>
      <c r="N45" s="39"/>
    </row>
    <row r="46" spans="2:14" x14ac:dyDescent="0.3">
      <c r="B46" s="37"/>
      <c r="C46" s="39"/>
      <c r="D46" s="39"/>
      <c r="E46" s="39"/>
      <c r="F46" s="39"/>
      <c r="I46" s="38"/>
      <c r="J46" s="38"/>
      <c r="K46" s="38"/>
      <c r="L46" s="38"/>
      <c r="M46" s="38"/>
      <c r="N46" s="39"/>
    </row>
    <row r="47" spans="2:14" x14ac:dyDescent="0.3">
      <c r="B47" s="37"/>
      <c r="C47" s="39"/>
      <c r="D47" s="39"/>
      <c r="E47" s="39"/>
      <c r="F47" s="39"/>
      <c r="I47" s="38"/>
      <c r="J47" s="38"/>
      <c r="K47" s="38"/>
      <c r="L47" s="38"/>
      <c r="M47" s="38"/>
      <c r="N47" s="39"/>
    </row>
    <row r="48" spans="2:14" x14ac:dyDescent="0.3">
      <c r="B48" s="37"/>
      <c r="C48" s="39"/>
      <c r="D48" s="39"/>
      <c r="E48" s="39"/>
      <c r="F48" s="39"/>
      <c r="I48" s="38"/>
      <c r="J48" s="38"/>
      <c r="K48" s="38"/>
      <c r="L48" s="38"/>
      <c r="M48" s="38"/>
      <c r="N48" s="39"/>
    </row>
    <row r="49" spans="2:33" x14ac:dyDescent="0.3">
      <c r="B49" s="37"/>
      <c r="C49" s="39"/>
      <c r="D49" s="39"/>
      <c r="E49" s="39"/>
      <c r="F49" s="39"/>
      <c r="I49" s="38"/>
      <c r="J49" s="38"/>
      <c r="K49" s="38"/>
      <c r="L49" s="38"/>
      <c r="M49" s="38"/>
      <c r="N49" s="39"/>
    </row>
    <row r="53" spans="2:33" x14ac:dyDescent="0.3">
      <c r="B53" s="9" t="s">
        <v>10</v>
      </c>
      <c r="C53" s="1"/>
      <c r="D53" s="1"/>
      <c r="E53" s="1"/>
      <c r="F53" s="1"/>
      <c r="G53" s="1"/>
    </row>
    <row r="55" spans="2:33" x14ac:dyDescent="0.3">
      <c r="B55" s="8" t="s">
        <v>35</v>
      </c>
      <c r="C55" s="22"/>
      <c r="K55" s="8" t="s">
        <v>36</v>
      </c>
      <c r="N55" s="2"/>
      <c r="P55" s="10"/>
      <c r="T55" s="8" t="s">
        <v>38</v>
      </c>
      <c r="AC55" s="8" t="s">
        <v>40</v>
      </c>
    </row>
    <row r="56" spans="2:33" x14ac:dyDescent="0.3">
      <c r="B56" s="4" t="s">
        <v>33</v>
      </c>
      <c r="C56" s="25" t="s">
        <v>41</v>
      </c>
      <c r="D56" s="25" t="s">
        <v>42</v>
      </c>
      <c r="E56" s="25" t="s">
        <v>43</v>
      </c>
      <c r="F56" s="49" t="s">
        <v>44</v>
      </c>
      <c r="K56" s="54" t="s">
        <v>34</v>
      </c>
      <c r="L56" s="55" t="s">
        <v>41</v>
      </c>
      <c r="M56" s="55" t="s">
        <v>42</v>
      </c>
      <c r="N56" s="55" t="s">
        <v>43</v>
      </c>
      <c r="O56" s="56" t="s">
        <v>44</v>
      </c>
      <c r="P56" s="57"/>
      <c r="Q56" s="58"/>
      <c r="R56" s="58"/>
      <c r="S56" s="58"/>
      <c r="T56" s="54" t="s">
        <v>37</v>
      </c>
      <c r="U56" s="55" t="s">
        <v>41</v>
      </c>
      <c r="V56" s="55" t="s">
        <v>42</v>
      </c>
      <c r="W56" s="55" t="s">
        <v>43</v>
      </c>
      <c r="X56" s="56" t="s">
        <v>44</v>
      </c>
      <c r="Y56" s="58"/>
      <c r="Z56" s="58"/>
      <c r="AA56" s="58"/>
      <c r="AB56" s="58"/>
      <c r="AC56" s="54" t="s">
        <v>39</v>
      </c>
      <c r="AD56" s="55" t="s">
        <v>41</v>
      </c>
      <c r="AE56" s="55" t="s">
        <v>42</v>
      </c>
      <c r="AF56" s="55" t="s">
        <v>43</v>
      </c>
      <c r="AG56" s="56" t="s">
        <v>44</v>
      </c>
    </row>
    <row r="57" spans="2:33" x14ac:dyDescent="0.3">
      <c r="B57" s="25" t="s">
        <v>41</v>
      </c>
      <c r="C57" s="51">
        <v>1</v>
      </c>
      <c r="D57" s="52">
        <v>7</v>
      </c>
      <c r="E57" s="52">
        <v>3</v>
      </c>
      <c r="F57" s="46">
        <v>3</v>
      </c>
      <c r="K57" s="55" t="s">
        <v>41</v>
      </c>
      <c r="L57" s="51">
        <v>1</v>
      </c>
      <c r="M57" s="52">
        <v>3</v>
      </c>
      <c r="N57" s="52">
        <v>3</v>
      </c>
      <c r="O57" s="46" t="s">
        <v>1</v>
      </c>
      <c r="P57" s="57"/>
      <c r="Q57" s="57"/>
      <c r="R57" s="57"/>
      <c r="S57" s="57"/>
      <c r="T57" s="55" t="s">
        <v>41</v>
      </c>
      <c r="U57" s="51">
        <v>1</v>
      </c>
      <c r="V57" s="52" t="s">
        <v>46</v>
      </c>
      <c r="W57" s="52" t="s">
        <v>1</v>
      </c>
      <c r="X57" s="46" t="s">
        <v>53</v>
      </c>
      <c r="Y57" s="57"/>
      <c r="Z57" s="57"/>
      <c r="AA57" s="57"/>
      <c r="AB57" s="57"/>
      <c r="AC57" s="55" t="s">
        <v>41</v>
      </c>
      <c r="AD57" s="51">
        <v>1</v>
      </c>
      <c r="AE57" s="52" t="s">
        <v>49</v>
      </c>
      <c r="AF57" s="52" t="s">
        <v>53</v>
      </c>
      <c r="AG57" s="46" t="s">
        <v>53</v>
      </c>
    </row>
    <row r="58" spans="2:33" x14ac:dyDescent="0.3">
      <c r="B58" s="25" t="s">
        <v>42</v>
      </c>
      <c r="C58" s="52" t="s">
        <v>2</v>
      </c>
      <c r="D58" s="51">
        <v>1</v>
      </c>
      <c r="E58" s="52" t="s">
        <v>3</v>
      </c>
      <c r="F58" s="46" t="s">
        <v>1</v>
      </c>
      <c r="K58" s="55" t="s">
        <v>42</v>
      </c>
      <c r="L58" s="52" t="s">
        <v>3</v>
      </c>
      <c r="M58" s="51">
        <v>1</v>
      </c>
      <c r="N58" s="52" t="s">
        <v>53</v>
      </c>
      <c r="O58" s="46" t="s">
        <v>1</v>
      </c>
      <c r="P58" s="57"/>
      <c r="Q58" s="57"/>
      <c r="R58" s="57"/>
      <c r="S58" s="57"/>
      <c r="T58" s="55" t="s">
        <v>42</v>
      </c>
      <c r="U58" s="52" t="s">
        <v>3</v>
      </c>
      <c r="V58" s="51">
        <v>1</v>
      </c>
      <c r="W58" s="52" t="s">
        <v>2</v>
      </c>
      <c r="X58" s="46" t="s">
        <v>3</v>
      </c>
      <c r="Y58" s="57"/>
      <c r="Z58" s="57"/>
      <c r="AA58" s="57"/>
      <c r="AB58" s="57"/>
      <c r="AC58" s="55" t="s">
        <v>42</v>
      </c>
      <c r="AD58" s="52" t="s">
        <v>54</v>
      </c>
      <c r="AE58" s="51">
        <v>1</v>
      </c>
      <c r="AF58" s="52" t="s">
        <v>54</v>
      </c>
      <c r="AG58" s="46" t="s">
        <v>54</v>
      </c>
    </row>
    <row r="59" spans="2:33" x14ac:dyDescent="0.3">
      <c r="B59" s="25" t="s">
        <v>43</v>
      </c>
      <c r="C59" s="52" t="s">
        <v>3</v>
      </c>
      <c r="D59" s="52" t="s">
        <v>46</v>
      </c>
      <c r="E59" s="51">
        <v>1</v>
      </c>
      <c r="F59" s="46" t="s">
        <v>51</v>
      </c>
      <c r="K59" s="55" t="s">
        <v>43</v>
      </c>
      <c r="L59" s="52" t="s">
        <v>3</v>
      </c>
      <c r="M59" s="52" t="s">
        <v>53</v>
      </c>
      <c r="N59" s="51">
        <v>1</v>
      </c>
      <c r="O59" s="46" t="s">
        <v>2</v>
      </c>
      <c r="P59" s="57"/>
      <c r="Q59" s="57"/>
      <c r="R59" s="57"/>
      <c r="S59" s="57"/>
      <c r="T59" s="55" t="s">
        <v>43</v>
      </c>
      <c r="U59" s="52" t="s">
        <v>48</v>
      </c>
      <c r="V59" s="52" t="s">
        <v>47</v>
      </c>
      <c r="W59" s="51">
        <v>1</v>
      </c>
      <c r="X59" s="46" t="s">
        <v>48</v>
      </c>
      <c r="Y59" s="57"/>
      <c r="Z59" s="57"/>
      <c r="AA59" s="57"/>
      <c r="AB59" s="57"/>
      <c r="AC59" s="55" t="s">
        <v>43</v>
      </c>
      <c r="AD59" s="52" t="s">
        <v>53</v>
      </c>
      <c r="AE59" s="52" t="s">
        <v>49</v>
      </c>
      <c r="AF59" s="51">
        <v>1</v>
      </c>
      <c r="AG59" s="46" t="s">
        <v>53</v>
      </c>
    </row>
    <row r="60" spans="2:33" x14ac:dyDescent="0.3">
      <c r="B60" s="25" t="s">
        <v>44</v>
      </c>
      <c r="C60" s="52" t="s">
        <v>3</v>
      </c>
      <c r="D60" s="52" t="s">
        <v>48</v>
      </c>
      <c r="E60" s="52" t="s">
        <v>52</v>
      </c>
      <c r="F60" s="53">
        <v>1</v>
      </c>
      <c r="K60" s="55" t="s">
        <v>44</v>
      </c>
      <c r="L60" s="52" t="s">
        <v>48</v>
      </c>
      <c r="M60" s="52" t="s">
        <v>48</v>
      </c>
      <c r="N60" s="52" t="s">
        <v>47</v>
      </c>
      <c r="O60" s="53">
        <v>1</v>
      </c>
      <c r="P60" s="57"/>
      <c r="Q60" s="57"/>
      <c r="R60" s="57"/>
      <c r="S60" s="57"/>
      <c r="T60" s="55" t="s">
        <v>44</v>
      </c>
      <c r="U60" s="52" t="s">
        <v>53</v>
      </c>
      <c r="V60" s="52" t="s">
        <v>46</v>
      </c>
      <c r="W60" s="52" t="s">
        <v>1</v>
      </c>
      <c r="X60" s="53">
        <v>1</v>
      </c>
      <c r="Y60" s="57"/>
      <c r="Z60" s="57"/>
      <c r="AA60" s="57"/>
      <c r="AB60" s="57"/>
      <c r="AC60" s="55" t="s">
        <v>44</v>
      </c>
      <c r="AD60" s="52" t="s">
        <v>53</v>
      </c>
      <c r="AE60" s="52" t="s">
        <v>49</v>
      </c>
      <c r="AF60" s="52" t="s">
        <v>53</v>
      </c>
      <c r="AG60" s="53">
        <v>1</v>
      </c>
    </row>
    <row r="61" spans="2:33" x14ac:dyDescent="0.3">
      <c r="N61" s="2"/>
      <c r="P61" s="10"/>
    </row>
    <row r="62" spans="2:33" x14ac:dyDescent="0.3">
      <c r="B62" s="8" t="s">
        <v>4</v>
      </c>
      <c r="K62" s="8" t="s">
        <v>4</v>
      </c>
      <c r="N62" s="2"/>
      <c r="P62" s="10"/>
      <c r="T62" s="8" t="s">
        <v>4</v>
      </c>
      <c r="AC62" s="8" t="s">
        <v>4</v>
      </c>
    </row>
    <row r="63" spans="2:33" x14ac:dyDescent="0.3">
      <c r="B63" s="4" t="s">
        <v>33</v>
      </c>
      <c r="C63" s="25" t="s">
        <v>41</v>
      </c>
      <c r="D63" s="25" t="s">
        <v>42</v>
      </c>
      <c r="E63" s="25" t="s">
        <v>43</v>
      </c>
      <c r="F63" s="49" t="s">
        <v>44</v>
      </c>
      <c r="K63" s="4" t="s">
        <v>34</v>
      </c>
      <c r="L63" s="25" t="s">
        <v>41</v>
      </c>
      <c r="M63" s="25" t="s">
        <v>42</v>
      </c>
      <c r="N63" s="25" t="s">
        <v>43</v>
      </c>
      <c r="O63" s="49" t="s">
        <v>44</v>
      </c>
      <c r="P63" s="10"/>
      <c r="T63" s="4" t="s">
        <v>37</v>
      </c>
      <c r="U63" s="25" t="s">
        <v>41</v>
      </c>
      <c r="V63" s="25" t="s">
        <v>42</v>
      </c>
      <c r="W63" s="25" t="s">
        <v>43</v>
      </c>
      <c r="X63" s="49" t="s">
        <v>44</v>
      </c>
      <c r="AC63" s="4" t="s">
        <v>39</v>
      </c>
      <c r="AD63" s="25" t="s">
        <v>41</v>
      </c>
      <c r="AE63" s="25" t="s">
        <v>42</v>
      </c>
      <c r="AF63" s="25" t="s">
        <v>43</v>
      </c>
      <c r="AG63" s="49" t="s">
        <v>44</v>
      </c>
    </row>
    <row r="64" spans="2:33" x14ac:dyDescent="0.3">
      <c r="B64" s="25" t="s">
        <v>41</v>
      </c>
      <c r="C64" s="23">
        <v>1</v>
      </c>
      <c r="D64" s="6">
        <f>ROUND(7,4)</f>
        <v>7</v>
      </c>
      <c r="E64" s="6">
        <f>ROUND(3,4)</f>
        <v>3</v>
      </c>
      <c r="F64" s="6">
        <f>ROUND(3,4)</f>
        <v>3</v>
      </c>
      <c r="K64" s="25" t="s">
        <v>41</v>
      </c>
      <c r="L64" s="23">
        <v>1</v>
      </c>
      <c r="M64" s="6">
        <f>ROUND(3,4)</f>
        <v>3</v>
      </c>
      <c r="N64" s="6">
        <f>ROUND(3,4)</f>
        <v>3</v>
      </c>
      <c r="O64" s="6">
        <f>ROUND(1/5,4)</f>
        <v>0.2</v>
      </c>
      <c r="P64" s="10"/>
      <c r="T64" s="25" t="s">
        <v>41</v>
      </c>
      <c r="U64" s="23">
        <v>1</v>
      </c>
      <c r="V64" s="6">
        <v>3</v>
      </c>
      <c r="W64" s="6">
        <f>ROUND(1/5,4)</f>
        <v>0.2</v>
      </c>
      <c r="X64" s="6">
        <f>ROUND(1,4)</f>
        <v>1</v>
      </c>
      <c r="AC64" s="25" t="s">
        <v>41</v>
      </c>
      <c r="AD64" s="23">
        <v>1</v>
      </c>
      <c r="AE64" s="6">
        <f>ROUND(1/9,4)</f>
        <v>0.1111</v>
      </c>
      <c r="AF64" s="6">
        <v>1</v>
      </c>
      <c r="AG64" s="6">
        <v>1</v>
      </c>
    </row>
    <row r="65" spans="2:34" x14ac:dyDescent="0.3">
      <c r="B65" s="25" t="s">
        <v>42</v>
      </c>
      <c r="C65" s="6">
        <f>ROUND(1/7,4)</f>
        <v>0.1429</v>
      </c>
      <c r="D65" s="23">
        <v>1</v>
      </c>
      <c r="E65" s="6">
        <f>ROUND(1/3,4)</f>
        <v>0.33329999999999999</v>
      </c>
      <c r="F65" s="6">
        <f>ROUND(1/5,4)</f>
        <v>0.2</v>
      </c>
      <c r="K65" s="25" t="s">
        <v>42</v>
      </c>
      <c r="L65" s="6">
        <f>ROUND(1/3,4)</f>
        <v>0.33329999999999999</v>
      </c>
      <c r="M65" s="23">
        <v>1</v>
      </c>
      <c r="N65" s="6">
        <f>ROUND(1,4)</f>
        <v>1</v>
      </c>
      <c r="O65" s="6">
        <f>ROUND(1/5,4)</f>
        <v>0.2</v>
      </c>
      <c r="P65" s="10"/>
      <c r="T65" s="25" t="s">
        <v>42</v>
      </c>
      <c r="U65" s="6">
        <f>ROUND(1/3,4)</f>
        <v>0.33329999999999999</v>
      </c>
      <c r="V65" s="23">
        <v>1</v>
      </c>
      <c r="W65" s="6">
        <f>ROUND(1/7,4)</f>
        <v>0.1429</v>
      </c>
      <c r="X65" s="6">
        <f>ROUND(1/3,4)</f>
        <v>0.33329999999999999</v>
      </c>
      <c r="AC65" s="25" t="s">
        <v>42</v>
      </c>
      <c r="AD65" s="6">
        <v>9</v>
      </c>
      <c r="AE65" s="23">
        <v>1</v>
      </c>
      <c r="AF65" s="6">
        <v>9</v>
      </c>
      <c r="AG65" s="6">
        <v>9</v>
      </c>
    </row>
    <row r="66" spans="2:34" x14ac:dyDescent="0.3">
      <c r="B66" s="25" t="s">
        <v>43</v>
      </c>
      <c r="C66" s="6">
        <f>ROUND(1/3,4)</f>
        <v>0.33329999999999999</v>
      </c>
      <c r="D66" s="6">
        <f>ROUND(3,4)</f>
        <v>3</v>
      </c>
      <c r="E66" s="23">
        <v>1</v>
      </c>
      <c r="F66" s="6">
        <f>ROUND(1/2,4)</f>
        <v>0.5</v>
      </c>
      <c r="K66" s="25" t="s">
        <v>43</v>
      </c>
      <c r="L66" s="6">
        <f>ROUND(1/3,4)</f>
        <v>0.33329999999999999</v>
      </c>
      <c r="M66" s="6">
        <f>ROUND(1,4)</f>
        <v>1</v>
      </c>
      <c r="N66" s="23">
        <v>1</v>
      </c>
      <c r="O66" s="6">
        <f>ROUND(1/7,4)</f>
        <v>0.1429</v>
      </c>
      <c r="P66" s="10"/>
      <c r="T66" s="25" t="s">
        <v>43</v>
      </c>
      <c r="U66" s="6">
        <f>ROUND(5,4)</f>
        <v>5</v>
      </c>
      <c r="V66" s="6">
        <v>7</v>
      </c>
      <c r="W66" s="23">
        <v>1</v>
      </c>
      <c r="X66" s="6">
        <v>5</v>
      </c>
      <c r="AC66" s="25" t="s">
        <v>43</v>
      </c>
      <c r="AD66" s="6">
        <v>1</v>
      </c>
      <c r="AE66" s="6">
        <f>ROUND(1/9,4)</f>
        <v>0.1111</v>
      </c>
      <c r="AF66" s="23">
        <v>1</v>
      </c>
      <c r="AG66" s="6">
        <v>1</v>
      </c>
    </row>
    <row r="67" spans="2:34" x14ac:dyDescent="0.3">
      <c r="B67" s="25" t="s">
        <v>44</v>
      </c>
      <c r="C67" s="6">
        <f>ROUND(1/3,4)</f>
        <v>0.33329999999999999</v>
      </c>
      <c r="D67" s="6">
        <f>ROUND(5,4)</f>
        <v>5</v>
      </c>
      <c r="E67" s="6">
        <f>ROUND(2,4)</f>
        <v>2</v>
      </c>
      <c r="F67" s="50">
        <v>1</v>
      </c>
      <c r="K67" s="25" t="s">
        <v>44</v>
      </c>
      <c r="L67" s="6">
        <f>ROUND(5,4)</f>
        <v>5</v>
      </c>
      <c r="M67" s="6">
        <f>ROUND(1,4)</f>
        <v>1</v>
      </c>
      <c r="N67" s="6">
        <f>ROUND(7,4)</f>
        <v>7</v>
      </c>
      <c r="O67" s="50">
        <v>1</v>
      </c>
      <c r="P67" s="10"/>
      <c r="T67" s="25" t="s">
        <v>44</v>
      </c>
      <c r="U67" s="6">
        <v>1</v>
      </c>
      <c r="V67" s="6">
        <v>3</v>
      </c>
      <c r="W67" s="6">
        <f>ROUND(1/5,4)</f>
        <v>0.2</v>
      </c>
      <c r="X67" s="50">
        <v>1</v>
      </c>
      <c r="AC67" s="25" t="s">
        <v>44</v>
      </c>
      <c r="AD67" s="6">
        <v>1</v>
      </c>
      <c r="AE67" s="6">
        <f>ROUND(1/9,4)</f>
        <v>0.1111</v>
      </c>
      <c r="AF67" s="6">
        <v>1</v>
      </c>
      <c r="AG67" s="50">
        <v>1</v>
      </c>
    </row>
    <row r="68" spans="2:34" x14ac:dyDescent="0.3">
      <c r="B68" s="26" t="s">
        <v>24</v>
      </c>
      <c r="C68" s="27">
        <f>SUM(C64:C67)</f>
        <v>1.8094999999999999</v>
      </c>
      <c r="D68" s="27">
        <f>SUM(D64:D67)</f>
        <v>16</v>
      </c>
      <c r="E68" s="27">
        <f>SUM(E64:E67)</f>
        <v>6.3332999999999995</v>
      </c>
      <c r="F68" s="27">
        <f>SUM(F64:F67)</f>
        <v>4.7</v>
      </c>
      <c r="K68" s="26" t="s">
        <v>24</v>
      </c>
      <c r="L68" s="27">
        <f>SUM(L64:L67)</f>
        <v>6.6665999999999999</v>
      </c>
      <c r="M68" s="27">
        <f>SUM(M64:M67)</f>
        <v>6</v>
      </c>
      <c r="N68" s="27">
        <f>SUM(N64:N67)</f>
        <v>12</v>
      </c>
      <c r="O68" s="27">
        <f>SUM(O64:O67)</f>
        <v>1.5428999999999999</v>
      </c>
      <c r="P68" s="10"/>
      <c r="T68" s="26" t="s">
        <v>24</v>
      </c>
      <c r="U68" s="27">
        <f>SUM(U64:U67)</f>
        <v>7.3332999999999995</v>
      </c>
      <c r="V68" s="27">
        <f>SUM(V64:V67)</f>
        <v>14</v>
      </c>
      <c r="W68" s="27">
        <f>SUM(W64:W67)</f>
        <v>1.5428999999999999</v>
      </c>
      <c r="X68" s="27">
        <f>SUM(X64:X67)</f>
        <v>7.3332999999999995</v>
      </c>
      <c r="AC68" s="26" t="s">
        <v>24</v>
      </c>
      <c r="AD68" s="27">
        <f>SUM(AD64:AD67)</f>
        <v>12</v>
      </c>
      <c r="AE68" s="27">
        <f>SUM(AE64:AE67)</f>
        <v>1.3332999999999999</v>
      </c>
      <c r="AF68" s="27">
        <f>SUM(AF64:AF67)</f>
        <v>12</v>
      </c>
      <c r="AG68" s="27">
        <f>SUM(AG64:AG67)</f>
        <v>12</v>
      </c>
    </row>
    <row r="69" spans="2:34" x14ac:dyDescent="0.3">
      <c r="N69" s="2"/>
      <c r="P69" s="10"/>
    </row>
    <row r="70" spans="2:34" x14ac:dyDescent="0.3">
      <c r="B70" s="8" t="s">
        <v>11</v>
      </c>
      <c r="K70" s="8" t="s">
        <v>11</v>
      </c>
      <c r="N70" s="2"/>
      <c r="P70" s="10"/>
      <c r="T70" s="8" t="s">
        <v>11</v>
      </c>
      <c r="AC70" s="8" t="s">
        <v>11</v>
      </c>
    </row>
    <row r="71" spans="2:34" ht="33.6" x14ac:dyDescent="0.3">
      <c r="B71" s="4" t="s">
        <v>33</v>
      </c>
      <c r="C71" s="5" t="s">
        <v>41</v>
      </c>
      <c r="D71" s="5" t="s">
        <v>42</v>
      </c>
      <c r="E71" s="5" t="s">
        <v>43</v>
      </c>
      <c r="F71" s="5" t="s">
        <v>44</v>
      </c>
      <c r="G71" s="28" t="s">
        <v>13</v>
      </c>
      <c r="K71" s="4" t="s">
        <v>34</v>
      </c>
      <c r="L71" s="5" t="s">
        <v>41</v>
      </c>
      <c r="M71" s="5" t="s">
        <v>42</v>
      </c>
      <c r="N71" s="5" t="s">
        <v>43</v>
      </c>
      <c r="O71" s="5" t="s">
        <v>44</v>
      </c>
      <c r="P71" s="28" t="s">
        <v>13</v>
      </c>
      <c r="Q71" s="10"/>
      <c r="T71" s="4" t="s">
        <v>37</v>
      </c>
      <c r="U71" s="5" t="s">
        <v>41</v>
      </c>
      <c r="V71" s="5" t="s">
        <v>42</v>
      </c>
      <c r="W71" s="5" t="s">
        <v>43</v>
      </c>
      <c r="X71" s="5" t="s">
        <v>44</v>
      </c>
      <c r="Y71" s="28" t="s">
        <v>13</v>
      </c>
      <c r="AC71" s="4" t="s">
        <v>39</v>
      </c>
      <c r="AD71" s="5" t="s">
        <v>41</v>
      </c>
      <c r="AE71" s="5" t="s">
        <v>42</v>
      </c>
      <c r="AF71" s="5" t="s">
        <v>43</v>
      </c>
      <c r="AG71" s="5" t="s">
        <v>44</v>
      </c>
      <c r="AH71" s="28" t="s">
        <v>13</v>
      </c>
    </row>
    <row r="72" spans="2:34" x14ac:dyDescent="0.3">
      <c r="B72" s="5" t="s">
        <v>41</v>
      </c>
      <c r="C72" s="6">
        <f>ROUND(C64/C68,4)</f>
        <v>0.55259999999999998</v>
      </c>
      <c r="D72" s="6">
        <f t="shared" ref="D72:F72" si="12">ROUND(D64/D68,4)</f>
        <v>0.4375</v>
      </c>
      <c r="E72" s="6">
        <f t="shared" si="12"/>
        <v>0.47370000000000001</v>
      </c>
      <c r="F72" s="6">
        <f t="shared" si="12"/>
        <v>0.63829999999999998</v>
      </c>
      <c r="G72" s="29">
        <f>ROUND(AVERAGE(C72:F72),4)</f>
        <v>0.52549999999999997</v>
      </c>
      <c r="K72" s="5" t="s">
        <v>41</v>
      </c>
      <c r="L72" s="6">
        <f>ROUND(L64/L68,4)</f>
        <v>0.15</v>
      </c>
      <c r="M72" s="6">
        <f>ROUND(M64/M68,4)</f>
        <v>0.5</v>
      </c>
      <c r="N72" s="6">
        <f>ROUND(N64/N68,4)</f>
        <v>0.25</v>
      </c>
      <c r="O72" s="6">
        <f>ROUND(O64/O68,4)</f>
        <v>0.12959999999999999</v>
      </c>
      <c r="P72" s="60">
        <f>ROUND(AVERAGE(L72:O72),4)</f>
        <v>0.25740000000000002</v>
      </c>
      <c r="Q72" s="10"/>
      <c r="T72" s="5" t="s">
        <v>41</v>
      </c>
      <c r="U72" s="6">
        <f>ROUND(U64/U68,4)</f>
        <v>0.13639999999999999</v>
      </c>
      <c r="V72" s="6">
        <f>ROUND(V64/V68,4)</f>
        <v>0.21429999999999999</v>
      </c>
      <c r="W72" s="6">
        <f>ROUND(W64/W68,4)</f>
        <v>0.12959999999999999</v>
      </c>
      <c r="X72" s="6">
        <f>ROUND(X64/X68,4)</f>
        <v>0.13639999999999999</v>
      </c>
      <c r="Y72" s="29">
        <f>ROUND(AVERAGE(U72:X72),4)</f>
        <v>0.1542</v>
      </c>
      <c r="AC72" s="5" t="s">
        <v>41</v>
      </c>
      <c r="AD72" s="6">
        <f>ROUND(AD64/AD68,4)</f>
        <v>8.3299999999999999E-2</v>
      </c>
      <c r="AE72" s="6">
        <f>ROUND(AE64/AE68,4)</f>
        <v>8.3299999999999999E-2</v>
      </c>
      <c r="AF72" s="6">
        <f>ROUND(AF64/AF68,4)</f>
        <v>8.3299999999999999E-2</v>
      </c>
      <c r="AG72" s="6">
        <f>ROUND(AG64/AG68,4)</f>
        <v>8.3299999999999999E-2</v>
      </c>
      <c r="AH72" s="29">
        <f>ROUND(AVERAGE(AD72:AG72),4)</f>
        <v>8.3299999999999999E-2</v>
      </c>
    </row>
    <row r="73" spans="2:34" x14ac:dyDescent="0.3">
      <c r="B73" s="5" t="s">
        <v>42</v>
      </c>
      <c r="C73" s="6">
        <f>ROUND(C65/C68,4)</f>
        <v>7.9000000000000001E-2</v>
      </c>
      <c r="D73" s="6">
        <f t="shared" ref="D73:F73" si="13">ROUND(D65/D68,4)</f>
        <v>6.25E-2</v>
      </c>
      <c r="E73" s="6">
        <f t="shared" si="13"/>
        <v>5.2600000000000001E-2</v>
      </c>
      <c r="F73" s="6">
        <f t="shared" si="13"/>
        <v>4.2599999999999999E-2</v>
      </c>
      <c r="G73" s="29">
        <f>ROUND(AVERAGE(C73:F73),4)</f>
        <v>5.9200000000000003E-2</v>
      </c>
      <c r="K73" s="5" t="s">
        <v>42</v>
      </c>
      <c r="L73" s="6">
        <f>ROUND(L65/L68,4)</f>
        <v>0.05</v>
      </c>
      <c r="M73" s="6">
        <f>ROUND(M65/M68,4)</f>
        <v>0.16669999999999999</v>
      </c>
      <c r="N73" s="6">
        <f>ROUND(N65/N68,4)</f>
        <v>8.3299999999999999E-2</v>
      </c>
      <c r="O73" s="6">
        <f>ROUND(O65/O68,4)</f>
        <v>0.12959999999999999</v>
      </c>
      <c r="P73" s="60">
        <f>ROUND(AVERAGE(L73:O73),4)</f>
        <v>0.1074</v>
      </c>
      <c r="Q73" s="10"/>
      <c r="T73" s="5" t="s">
        <v>42</v>
      </c>
      <c r="U73" s="6">
        <f>ROUND(U65/U68,4)</f>
        <v>4.5499999999999999E-2</v>
      </c>
      <c r="V73" s="6">
        <f>ROUND(V65/V68,4)</f>
        <v>7.1400000000000005E-2</v>
      </c>
      <c r="W73" s="6">
        <f>ROUND(W65/W68,4)</f>
        <v>9.2600000000000002E-2</v>
      </c>
      <c r="X73" s="6">
        <f>ROUND(X65/X68,4)</f>
        <v>4.5499999999999999E-2</v>
      </c>
      <c r="Y73" s="29">
        <f t="shared" ref="Y73:Y74" si="14">ROUND(AVERAGE(U73:X73),4)</f>
        <v>6.3799999999999996E-2</v>
      </c>
      <c r="AC73" s="5" t="s">
        <v>42</v>
      </c>
      <c r="AD73" s="6">
        <f>ROUND(AD65/AD68,4)</f>
        <v>0.75</v>
      </c>
      <c r="AE73" s="6">
        <f>ROUND(AE65/AE68,4)</f>
        <v>0.75</v>
      </c>
      <c r="AF73" s="6">
        <f>ROUND(AF65/AF68,4)</f>
        <v>0.75</v>
      </c>
      <c r="AG73" s="6">
        <f>ROUND(AG65/AG68,4)</f>
        <v>0.75</v>
      </c>
      <c r="AH73" s="29">
        <f>ROUND(AVERAGE(AD73:AG73),4)</f>
        <v>0.75</v>
      </c>
    </row>
    <row r="74" spans="2:34" x14ac:dyDescent="0.3">
      <c r="B74" s="5" t="s">
        <v>43</v>
      </c>
      <c r="C74" s="6">
        <f>ROUND(C66/C68,4)</f>
        <v>0.1842</v>
      </c>
      <c r="D74" s="6">
        <f t="shared" ref="D74:F74" si="15">ROUND(D66/D68,4)</f>
        <v>0.1875</v>
      </c>
      <c r="E74" s="6">
        <f t="shared" si="15"/>
        <v>0.15790000000000001</v>
      </c>
      <c r="F74" s="6">
        <f t="shared" si="15"/>
        <v>0.10639999999999999</v>
      </c>
      <c r="G74" s="29">
        <f>ROUND(AVERAGE(C74:F74),4)</f>
        <v>0.159</v>
      </c>
      <c r="K74" s="5" t="s">
        <v>43</v>
      </c>
      <c r="L74" s="6">
        <f>ROUND(L66/L68,4)</f>
        <v>0.05</v>
      </c>
      <c r="M74" s="6">
        <f>ROUND(M66/M68,4)</f>
        <v>0.16669999999999999</v>
      </c>
      <c r="N74" s="6">
        <f>ROUND(N66/N68,4)</f>
        <v>8.3299999999999999E-2</v>
      </c>
      <c r="O74" s="6">
        <f>ROUND(O66/O68,4)</f>
        <v>9.2600000000000002E-2</v>
      </c>
      <c r="P74" s="60">
        <f t="shared" ref="P74:P75" si="16">ROUND(AVERAGE(L74:O74),4)</f>
        <v>9.8199999999999996E-2</v>
      </c>
      <c r="Q74" s="10"/>
      <c r="T74" s="5" t="s">
        <v>43</v>
      </c>
      <c r="U74" s="6">
        <f>ROUND(U66/U68,4)</f>
        <v>0.68179999999999996</v>
      </c>
      <c r="V74" s="6">
        <f>ROUND(V66/V68,4)</f>
        <v>0.5</v>
      </c>
      <c r="W74" s="6">
        <f>ROUND(W66/W68,4)</f>
        <v>0.64810000000000001</v>
      </c>
      <c r="X74" s="6">
        <f>ROUND(X66/X68,4)</f>
        <v>0.68179999999999996</v>
      </c>
      <c r="Y74" s="29">
        <f t="shared" si="14"/>
        <v>0.62790000000000001</v>
      </c>
      <c r="AC74" s="5" t="s">
        <v>43</v>
      </c>
      <c r="AD74" s="6">
        <f>ROUND(AD66/AD68,4)</f>
        <v>8.3299999999999999E-2</v>
      </c>
      <c r="AE74" s="6">
        <f>ROUND(AE66/AE68,4)</f>
        <v>8.3299999999999999E-2</v>
      </c>
      <c r="AF74" s="6">
        <f>ROUND(AF66/AF68,4)</f>
        <v>8.3299999999999999E-2</v>
      </c>
      <c r="AG74" s="6">
        <f>ROUND(AG66/AG68,4)</f>
        <v>8.3299999999999999E-2</v>
      </c>
      <c r="AH74" s="29">
        <f>ROUND(AVERAGE(AD74:AG74),4)</f>
        <v>8.3299999999999999E-2</v>
      </c>
    </row>
    <row r="75" spans="2:34" x14ac:dyDescent="0.3">
      <c r="B75" s="5" t="s">
        <v>44</v>
      </c>
      <c r="C75" s="59">
        <f>C67/C68</f>
        <v>0.18419452887537993</v>
      </c>
      <c r="D75" s="59">
        <f t="shared" ref="D75" si="17">D67/D68</f>
        <v>0.3125</v>
      </c>
      <c r="E75" s="59">
        <f>E67/E68</f>
        <v>0.31579113574281975</v>
      </c>
      <c r="F75" s="59">
        <f>F67/F68</f>
        <v>0.21276595744680851</v>
      </c>
      <c r="G75" s="29">
        <f>ROUND(AVERAGE(C75:F75),4)</f>
        <v>0.25629999999999997</v>
      </c>
      <c r="K75" s="48" t="s">
        <v>44</v>
      </c>
      <c r="L75" s="6">
        <f>ROUND(L67/L68,4)</f>
        <v>0.75</v>
      </c>
      <c r="M75" s="6">
        <f t="shared" ref="M75:N75" si="18">ROUND(M67/M68,4)</f>
        <v>0.16669999999999999</v>
      </c>
      <c r="N75" s="6">
        <f t="shared" si="18"/>
        <v>0.58330000000000004</v>
      </c>
      <c r="O75" s="6">
        <f>ROUND(O67/O68,4)</f>
        <v>0.64810000000000001</v>
      </c>
      <c r="P75" s="60">
        <f t="shared" si="16"/>
        <v>0.53700000000000003</v>
      </c>
      <c r="Q75" s="10"/>
      <c r="T75" s="48" t="s">
        <v>44</v>
      </c>
      <c r="U75" s="6">
        <f>ROUND(U67/U68,4)</f>
        <v>0.13639999999999999</v>
      </c>
      <c r="V75" s="6">
        <f t="shared" ref="V75" si="19">ROUND(V67/V68,4)</f>
        <v>0.21429999999999999</v>
      </c>
      <c r="W75" s="6">
        <f>ROUND(W67/W68,4)</f>
        <v>0.12959999999999999</v>
      </c>
      <c r="X75" s="6">
        <f>ROUND(X67/X68,4)</f>
        <v>0.13639999999999999</v>
      </c>
      <c r="Y75" s="29">
        <f>ROUND(AVERAGE(U75:X75),4)</f>
        <v>0.1542</v>
      </c>
      <c r="AC75" s="5" t="s">
        <v>44</v>
      </c>
      <c r="AD75" s="6">
        <f>ROUND(AD67/AD68,4)</f>
        <v>8.3299999999999999E-2</v>
      </c>
      <c r="AE75" s="6">
        <f t="shared" ref="AE75:AF75" si="20">ROUND(AE67/AE68,4)</f>
        <v>8.3299999999999999E-2</v>
      </c>
      <c r="AF75" s="6">
        <f t="shared" si="20"/>
        <v>8.3299999999999999E-2</v>
      </c>
      <c r="AG75" s="6">
        <f>ROUND(AG67/AG68,4)</f>
        <v>8.3299999999999999E-2</v>
      </c>
      <c r="AH75" s="29">
        <f>ROUND(AVERAGE(AD75:AG75),4)</f>
        <v>8.3299999999999999E-2</v>
      </c>
    </row>
    <row r="76" spans="2:34" x14ac:dyDescent="0.3">
      <c r="N76" s="2"/>
      <c r="P76" s="10"/>
    </row>
    <row r="77" spans="2:34" x14ac:dyDescent="0.3">
      <c r="B77" s="8" t="s">
        <v>5</v>
      </c>
      <c r="K77" s="8" t="s">
        <v>5</v>
      </c>
      <c r="N77" s="2"/>
      <c r="P77" s="10"/>
      <c r="T77" s="8" t="s">
        <v>5</v>
      </c>
      <c r="AC77" s="8" t="s">
        <v>5</v>
      </c>
    </row>
    <row r="78" spans="2:34" x14ac:dyDescent="0.3">
      <c r="B78" s="29" t="s">
        <v>13</v>
      </c>
      <c r="C78" s="29">
        <v>0.52549999999999997</v>
      </c>
      <c r="D78" s="29">
        <v>5.9200000000000003E-2</v>
      </c>
      <c r="E78" s="29">
        <v>0.159</v>
      </c>
      <c r="F78" s="29">
        <v>0.25629999999999997</v>
      </c>
      <c r="K78" s="29" t="s">
        <v>13</v>
      </c>
      <c r="L78" s="29">
        <v>0.25700000000000001</v>
      </c>
      <c r="M78" s="29">
        <v>0.107</v>
      </c>
      <c r="N78" s="29">
        <v>9.8000000000000004E-2</v>
      </c>
      <c r="O78" s="2">
        <v>0.53700000000000003</v>
      </c>
      <c r="P78" s="10"/>
      <c r="T78" s="29" t="s">
        <v>13</v>
      </c>
      <c r="U78" s="29">
        <v>0.1542</v>
      </c>
      <c r="V78" s="29">
        <v>6.3799999999999996E-2</v>
      </c>
      <c r="W78" s="29">
        <v>0.62790000000000001</v>
      </c>
      <c r="X78" s="2">
        <v>0.1542</v>
      </c>
      <c r="AC78" s="29" t="s">
        <v>13</v>
      </c>
      <c r="AD78" s="29">
        <v>8.3299999999999999E-2</v>
      </c>
      <c r="AE78" s="29">
        <v>0.75</v>
      </c>
      <c r="AF78" s="29">
        <v>8.3299999999999999E-2</v>
      </c>
      <c r="AG78" s="2">
        <v>8.3299999999999999E-2</v>
      </c>
    </row>
    <row r="79" spans="2:34" x14ac:dyDescent="0.3">
      <c r="B79" s="4" t="s">
        <v>33</v>
      </c>
      <c r="C79" s="25" t="s">
        <v>41</v>
      </c>
      <c r="D79" s="25" t="s">
        <v>42</v>
      </c>
      <c r="E79" s="25" t="s">
        <v>43</v>
      </c>
      <c r="F79" s="49" t="s">
        <v>44</v>
      </c>
      <c r="G79" s="10"/>
      <c r="H79" s="10"/>
      <c r="I79" s="10"/>
      <c r="J79" s="10"/>
      <c r="K79" s="4" t="s">
        <v>34</v>
      </c>
      <c r="L79" s="25" t="s">
        <v>41</v>
      </c>
      <c r="M79" s="25" t="s">
        <v>42</v>
      </c>
      <c r="N79" s="25" t="s">
        <v>43</v>
      </c>
      <c r="O79" s="49" t="s">
        <v>44</v>
      </c>
      <c r="P79" s="10"/>
      <c r="Q79" s="10"/>
      <c r="R79" s="10"/>
      <c r="S79" s="10"/>
      <c r="T79" s="4" t="s">
        <v>37</v>
      </c>
      <c r="U79" s="25" t="s">
        <v>41</v>
      </c>
      <c r="V79" s="25" t="s">
        <v>42</v>
      </c>
      <c r="W79" s="25" t="s">
        <v>43</v>
      </c>
      <c r="X79" s="49" t="s">
        <v>44</v>
      </c>
      <c r="Y79" s="10"/>
      <c r="Z79" s="10"/>
      <c r="AA79" s="10"/>
      <c r="AB79" s="10"/>
      <c r="AC79" s="4" t="s">
        <v>39</v>
      </c>
      <c r="AD79" s="25" t="s">
        <v>41</v>
      </c>
      <c r="AE79" s="25" t="s">
        <v>42</v>
      </c>
      <c r="AF79" s="25" t="s">
        <v>43</v>
      </c>
      <c r="AG79" s="49" t="s">
        <v>44</v>
      </c>
    </row>
    <row r="80" spans="2:34" x14ac:dyDescent="0.3">
      <c r="B80" s="25" t="s">
        <v>41</v>
      </c>
      <c r="C80" s="23">
        <v>1</v>
      </c>
      <c r="D80" s="6">
        <v>7</v>
      </c>
      <c r="E80" s="6">
        <v>3</v>
      </c>
      <c r="F80" s="3">
        <v>3</v>
      </c>
      <c r="G80" s="10"/>
      <c r="H80" s="10"/>
      <c r="I80" s="10"/>
      <c r="J80" s="10"/>
      <c r="K80" s="25" t="s">
        <v>41</v>
      </c>
      <c r="L80" s="23">
        <v>1</v>
      </c>
      <c r="M80" s="6">
        <v>3</v>
      </c>
      <c r="N80" s="6">
        <v>3</v>
      </c>
      <c r="O80" s="3">
        <v>0.2</v>
      </c>
      <c r="P80" s="10"/>
      <c r="Q80" s="10"/>
      <c r="R80" s="10"/>
      <c r="S80" s="10"/>
      <c r="T80" s="25" t="s">
        <v>41</v>
      </c>
      <c r="U80" s="23">
        <v>1</v>
      </c>
      <c r="V80" s="6">
        <v>3</v>
      </c>
      <c r="W80" s="6">
        <v>0.2</v>
      </c>
      <c r="X80" s="3">
        <v>1</v>
      </c>
      <c r="Y80" s="10"/>
      <c r="Z80" s="10"/>
      <c r="AA80" s="10"/>
      <c r="AB80" s="10"/>
      <c r="AC80" s="25" t="s">
        <v>41</v>
      </c>
      <c r="AD80" s="23">
        <v>1</v>
      </c>
      <c r="AE80" s="6">
        <v>0.1111</v>
      </c>
      <c r="AF80" s="6">
        <v>1</v>
      </c>
      <c r="AG80" s="3">
        <v>1</v>
      </c>
    </row>
    <row r="81" spans="2:36" x14ac:dyDescent="0.3">
      <c r="B81" s="25" t="s">
        <v>42</v>
      </c>
      <c r="C81" s="6">
        <v>0.1429</v>
      </c>
      <c r="D81" s="23">
        <v>1</v>
      </c>
      <c r="E81" s="6">
        <v>0.33329999999999999</v>
      </c>
      <c r="F81" s="3">
        <v>0.2</v>
      </c>
      <c r="G81" s="10"/>
      <c r="H81" s="10"/>
      <c r="I81" s="10"/>
      <c r="J81" s="10"/>
      <c r="K81" s="25" t="s">
        <v>42</v>
      </c>
      <c r="L81" s="6">
        <v>0.33329999999999999</v>
      </c>
      <c r="M81" s="23">
        <v>1</v>
      </c>
      <c r="N81" s="6">
        <v>1</v>
      </c>
      <c r="O81" s="3">
        <v>0.2</v>
      </c>
      <c r="P81" s="10"/>
      <c r="Q81" s="10"/>
      <c r="R81" s="10"/>
      <c r="S81" s="10"/>
      <c r="T81" s="25" t="s">
        <v>42</v>
      </c>
      <c r="U81" s="6">
        <v>0.33329999999999999</v>
      </c>
      <c r="V81" s="23">
        <v>1</v>
      </c>
      <c r="W81" s="6">
        <v>0.1429</v>
      </c>
      <c r="X81" s="3">
        <v>0.33329999999999999</v>
      </c>
      <c r="Y81" s="10"/>
      <c r="Z81" s="10"/>
      <c r="AA81" s="10"/>
      <c r="AB81" s="10"/>
      <c r="AC81" s="25" t="s">
        <v>42</v>
      </c>
      <c r="AD81" s="6">
        <v>9</v>
      </c>
      <c r="AE81" s="23">
        <v>1</v>
      </c>
      <c r="AF81" s="6">
        <v>9</v>
      </c>
      <c r="AG81" s="3">
        <v>9</v>
      </c>
    </row>
    <row r="82" spans="2:36" x14ac:dyDescent="0.3">
      <c r="B82" s="25" t="s">
        <v>43</v>
      </c>
      <c r="C82" s="6">
        <v>0.33329999999999999</v>
      </c>
      <c r="D82" s="6">
        <v>3</v>
      </c>
      <c r="E82" s="23">
        <v>1</v>
      </c>
      <c r="F82" s="3">
        <v>0.5</v>
      </c>
      <c r="G82" s="10"/>
      <c r="H82" s="10"/>
      <c r="I82" s="10"/>
      <c r="J82" s="10"/>
      <c r="K82" s="25" t="s">
        <v>43</v>
      </c>
      <c r="L82" s="6">
        <v>0.33329999999999999</v>
      </c>
      <c r="M82" s="6">
        <v>1</v>
      </c>
      <c r="N82" s="23">
        <v>1</v>
      </c>
      <c r="O82" s="3">
        <v>0.1429</v>
      </c>
      <c r="P82" s="10"/>
      <c r="Q82" s="10"/>
      <c r="R82" s="10"/>
      <c r="S82" s="10"/>
      <c r="T82" s="25" t="s">
        <v>43</v>
      </c>
      <c r="U82" s="6">
        <v>5</v>
      </c>
      <c r="V82" s="6">
        <v>7</v>
      </c>
      <c r="W82" s="23">
        <v>1</v>
      </c>
      <c r="X82" s="3">
        <v>5</v>
      </c>
      <c r="Y82" s="10"/>
      <c r="Z82" s="10"/>
      <c r="AA82" s="10"/>
      <c r="AB82" s="10"/>
      <c r="AC82" s="25" t="s">
        <v>43</v>
      </c>
      <c r="AD82" s="6">
        <v>1</v>
      </c>
      <c r="AE82" s="6">
        <v>0.1111</v>
      </c>
      <c r="AF82" s="23">
        <v>1</v>
      </c>
      <c r="AG82" s="3">
        <v>1</v>
      </c>
    </row>
    <row r="83" spans="2:36" x14ac:dyDescent="0.3">
      <c r="B83" s="25" t="s">
        <v>44</v>
      </c>
      <c r="C83" s="6">
        <v>0.33329999999999999</v>
      </c>
      <c r="D83" s="6">
        <v>5</v>
      </c>
      <c r="E83" s="6">
        <v>2</v>
      </c>
      <c r="F83" s="50">
        <v>1</v>
      </c>
      <c r="G83" s="10"/>
      <c r="H83" s="10"/>
      <c r="I83" s="10"/>
      <c r="J83" s="10"/>
      <c r="K83" s="25" t="s">
        <v>44</v>
      </c>
      <c r="L83" s="6">
        <v>5</v>
      </c>
      <c r="M83" s="6">
        <v>1</v>
      </c>
      <c r="N83" s="6">
        <v>7</v>
      </c>
      <c r="O83" s="50">
        <v>1</v>
      </c>
      <c r="P83" s="10"/>
      <c r="Q83" s="10"/>
      <c r="R83" s="10"/>
      <c r="S83" s="10"/>
      <c r="T83" s="25" t="s">
        <v>44</v>
      </c>
      <c r="U83" s="6">
        <v>1</v>
      </c>
      <c r="V83" s="6">
        <v>3</v>
      </c>
      <c r="W83" s="6">
        <v>0.2</v>
      </c>
      <c r="X83" s="50">
        <v>1</v>
      </c>
      <c r="Y83" s="10"/>
      <c r="Z83" s="10"/>
      <c r="AA83" s="10"/>
      <c r="AB83" s="10"/>
      <c r="AC83" s="25" t="s">
        <v>44</v>
      </c>
      <c r="AD83" s="6">
        <v>1</v>
      </c>
      <c r="AE83" s="6">
        <v>0.1111</v>
      </c>
      <c r="AF83" s="6">
        <v>1</v>
      </c>
      <c r="AG83" s="50">
        <v>1</v>
      </c>
    </row>
    <row r="84" spans="2:36" x14ac:dyDescent="0.3">
      <c r="N84" s="2"/>
      <c r="P84" s="10"/>
    </row>
    <row r="85" spans="2:36" x14ac:dyDescent="0.3">
      <c r="B85" s="8" t="s">
        <v>14</v>
      </c>
      <c r="K85" s="8" t="s">
        <v>14</v>
      </c>
      <c r="N85" s="2"/>
      <c r="P85" s="10"/>
      <c r="T85" s="8" t="s">
        <v>14</v>
      </c>
      <c r="AC85" s="2" t="s">
        <v>14</v>
      </c>
    </row>
    <row r="86" spans="2:36" x14ac:dyDescent="0.3">
      <c r="B86" s="4" t="s">
        <v>33</v>
      </c>
      <c r="C86" s="25" t="s">
        <v>41</v>
      </c>
      <c r="D86" s="25" t="s">
        <v>42</v>
      </c>
      <c r="E86" s="25" t="s">
        <v>43</v>
      </c>
      <c r="F86" s="49" t="s">
        <v>44</v>
      </c>
      <c r="K86" s="4" t="s">
        <v>34</v>
      </c>
      <c r="L86" s="25" t="s">
        <v>41</v>
      </c>
      <c r="M86" s="25" t="s">
        <v>42</v>
      </c>
      <c r="N86" s="25" t="s">
        <v>43</v>
      </c>
      <c r="O86" s="49" t="s">
        <v>44</v>
      </c>
      <c r="P86" s="10"/>
      <c r="T86" s="4" t="s">
        <v>37</v>
      </c>
      <c r="U86" s="25" t="s">
        <v>41</v>
      </c>
      <c r="V86" s="25" t="s">
        <v>42</v>
      </c>
      <c r="W86" s="25" t="s">
        <v>43</v>
      </c>
      <c r="X86" s="49" t="s">
        <v>44</v>
      </c>
      <c r="AC86" s="4" t="s">
        <v>39</v>
      </c>
      <c r="AD86" s="25" t="s">
        <v>41</v>
      </c>
      <c r="AE86" s="25" t="s">
        <v>42</v>
      </c>
      <c r="AF86" s="25" t="s">
        <v>43</v>
      </c>
      <c r="AG86" s="49" t="s">
        <v>44</v>
      </c>
    </row>
    <row r="87" spans="2:36" s="38" customFormat="1" x14ac:dyDescent="0.3">
      <c r="B87" s="25" t="s">
        <v>41</v>
      </c>
      <c r="C87" s="61">
        <f>ROUND(C80*C78,4)</f>
        <v>0.52549999999999997</v>
      </c>
      <c r="D87" s="61">
        <f t="shared" ref="D87" si="21">ROUND(D80*D78,4)</f>
        <v>0.41439999999999999</v>
      </c>
      <c r="E87" s="61">
        <f>ROUND(E80*E78,4)</f>
        <v>0.47699999999999998</v>
      </c>
      <c r="F87" s="61">
        <f>ROUND(F80*F78,4)</f>
        <v>0.76890000000000003</v>
      </c>
      <c r="K87" s="25" t="s">
        <v>41</v>
      </c>
      <c r="L87" s="61">
        <f>ROUND(L80*L78,4)</f>
        <v>0.25700000000000001</v>
      </c>
      <c r="M87" s="61">
        <f t="shared" ref="M87:N87" si="22">ROUND(M80*M78,4)</f>
        <v>0.32100000000000001</v>
      </c>
      <c r="N87" s="61">
        <f t="shared" si="22"/>
        <v>0.29399999999999998</v>
      </c>
      <c r="O87" s="61">
        <f>ROUND(O80*O78,4)</f>
        <v>0.1074</v>
      </c>
      <c r="P87" s="39"/>
      <c r="T87" s="25" t="s">
        <v>41</v>
      </c>
      <c r="U87" s="61">
        <f>ROUND(U80*U78,4)</f>
        <v>0.1542</v>
      </c>
      <c r="V87" s="61">
        <f t="shared" ref="V87:X87" si="23">ROUND(V80*V78,4)</f>
        <v>0.19139999999999999</v>
      </c>
      <c r="W87" s="61">
        <f t="shared" si="23"/>
        <v>0.12559999999999999</v>
      </c>
      <c r="X87" s="61">
        <f t="shared" si="23"/>
        <v>0.1542</v>
      </c>
      <c r="AC87" s="25" t="s">
        <v>41</v>
      </c>
      <c r="AD87" s="61">
        <f>ROUND(AD80*AD78,4)</f>
        <v>8.3299999999999999E-2</v>
      </c>
      <c r="AE87" s="61">
        <f t="shared" ref="AE87:AG87" si="24">ROUND(AE80*AE78,4)</f>
        <v>8.3299999999999999E-2</v>
      </c>
      <c r="AF87" s="61">
        <f t="shared" si="24"/>
        <v>8.3299999999999999E-2</v>
      </c>
      <c r="AG87" s="61">
        <f t="shared" si="24"/>
        <v>8.3299999999999999E-2</v>
      </c>
    </row>
    <row r="88" spans="2:36" s="38" customFormat="1" x14ac:dyDescent="0.3">
      <c r="B88" s="25" t="s">
        <v>42</v>
      </c>
      <c r="C88" s="61">
        <f>ROUND(C81*C78,4)</f>
        <v>7.51E-2</v>
      </c>
      <c r="D88" s="61">
        <f t="shared" ref="D88:F88" si="25">ROUND(D81*D78,4)</f>
        <v>5.9200000000000003E-2</v>
      </c>
      <c r="E88" s="61">
        <f t="shared" si="25"/>
        <v>5.2999999999999999E-2</v>
      </c>
      <c r="F88" s="61">
        <f t="shared" si="25"/>
        <v>5.1299999999999998E-2</v>
      </c>
      <c r="K88" s="25" t="s">
        <v>42</v>
      </c>
      <c r="L88" s="61">
        <f>ROUND(L81*L78,4)</f>
        <v>8.5699999999999998E-2</v>
      </c>
      <c r="M88" s="61">
        <f t="shared" ref="M88:O88" si="26">ROUND(M81*M78,4)</f>
        <v>0.107</v>
      </c>
      <c r="N88" s="61">
        <f t="shared" si="26"/>
        <v>9.8000000000000004E-2</v>
      </c>
      <c r="O88" s="61">
        <f t="shared" si="26"/>
        <v>0.1074</v>
      </c>
      <c r="P88" s="39"/>
      <c r="T88" s="25" t="s">
        <v>42</v>
      </c>
      <c r="U88" s="61">
        <f>ROUND(U81*U78,4)</f>
        <v>5.1400000000000001E-2</v>
      </c>
      <c r="V88" s="61">
        <f t="shared" ref="V88:X88" si="27">ROUND(V81*V78,4)</f>
        <v>6.3799999999999996E-2</v>
      </c>
      <c r="W88" s="61">
        <f t="shared" si="27"/>
        <v>8.9700000000000002E-2</v>
      </c>
      <c r="X88" s="61">
        <f t="shared" si="27"/>
        <v>5.1400000000000001E-2</v>
      </c>
      <c r="AC88" s="25" t="s">
        <v>42</v>
      </c>
      <c r="AD88" s="61">
        <f>ROUND(AD81*AD78,4)</f>
        <v>0.74970000000000003</v>
      </c>
      <c r="AE88" s="61">
        <f t="shared" ref="AE88:AG88" si="28">ROUND(AE81*AE78,4)</f>
        <v>0.75</v>
      </c>
      <c r="AF88" s="61">
        <f t="shared" si="28"/>
        <v>0.74970000000000003</v>
      </c>
      <c r="AG88" s="61">
        <f t="shared" si="28"/>
        <v>0.74970000000000003</v>
      </c>
    </row>
    <row r="89" spans="2:36" s="38" customFormat="1" x14ac:dyDescent="0.3">
      <c r="B89" s="25" t="s">
        <v>43</v>
      </c>
      <c r="C89" s="61">
        <f>ROUND(C82*C78,4)</f>
        <v>0.17510000000000001</v>
      </c>
      <c r="D89" s="61">
        <f t="shared" ref="D89:E89" si="29">ROUND(D82*D78,4)</f>
        <v>0.17760000000000001</v>
      </c>
      <c r="E89" s="61">
        <f t="shared" si="29"/>
        <v>0.159</v>
      </c>
      <c r="F89" s="61">
        <f>ROUND(F82*F78,4)</f>
        <v>0.12820000000000001</v>
      </c>
      <c r="K89" s="25" t="s">
        <v>43</v>
      </c>
      <c r="L89" s="61">
        <f>ROUND(L82*L78,4)</f>
        <v>8.5699999999999998E-2</v>
      </c>
      <c r="M89" s="61">
        <f t="shared" ref="M89:N89" si="30">ROUND(M82*M78,4)</f>
        <v>0.107</v>
      </c>
      <c r="N89" s="61">
        <f t="shared" si="30"/>
        <v>9.8000000000000004E-2</v>
      </c>
      <c r="O89" s="61">
        <f>ROUND(O82*O78,4)</f>
        <v>7.6700000000000004E-2</v>
      </c>
      <c r="P89" s="39"/>
      <c r="T89" s="25" t="s">
        <v>43</v>
      </c>
      <c r="U89" s="61">
        <f>ROUND(U82*U78,4)</f>
        <v>0.77100000000000002</v>
      </c>
      <c r="V89" s="61">
        <f t="shared" ref="V89:W89" si="31">ROUND(V82*V78,4)</f>
        <v>0.4466</v>
      </c>
      <c r="W89" s="61">
        <f t="shared" si="31"/>
        <v>0.62790000000000001</v>
      </c>
      <c r="X89" s="61">
        <f>ROUND(X82*X78,4)</f>
        <v>0.77100000000000002</v>
      </c>
      <c r="AC89" s="25" t="s">
        <v>43</v>
      </c>
      <c r="AD89" s="61">
        <f>ROUND(AD82*AD78,4)</f>
        <v>8.3299999999999999E-2</v>
      </c>
      <c r="AE89" s="61">
        <f t="shared" ref="AE89:AF89" si="32">ROUND(AE82*AE78,4)</f>
        <v>8.3299999999999999E-2</v>
      </c>
      <c r="AF89" s="61">
        <f t="shared" si="32"/>
        <v>8.3299999999999999E-2</v>
      </c>
      <c r="AG89" s="61">
        <f>ROUND(AG82*AG78,4)</f>
        <v>8.3299999999999999E-2</v>
      </c>
    </row>
    <row r="90" spans="2:36" s="38" customFormat="1" x14ac:dyDescent="0.3">
      <c r="B90" s="25" t="s">
        <v>44</v>
      </c>
      <c r="C90" s="61">
        <f>ROUND(C78*C83,4)</f>
        <v>0.17510000000000001</v>
      </c>
      <c r="D90" s="61">
        <f>ROUND(D78*D83,4)</f>
        <v>0.29599999999999999</v>
      </c>
      <c r="E90" s="61">
        <f t="shared" ref="E90:F90" si="33">ROUND(E78*E83,4)</f>
        <v>0.318</v>
      </c>
      <c r="F90" s="61">
        <f t="shared" si="33"/>
        <v>0.25629999999999997</v>
      </c>
      <c r="K90" s="25" t="s">
        <v>44</v>
      </c>
      <c r="L90" s="61">
        <f>ROUND(L78*L83,4)</f>
        <v>1.2849999999999999</v>
      </c>
      <c r="M90" s="61">
        <f t="shared" ref="M90:N90" si="34">ROUND(M78*M83,4)</f>
        <v>0.107</v>
      </c>
      <c r="N90" s="61">
        <f t="shared" si="34"/>
        <v>0.68600000000000005</v>
      </c>
      <c r="O90" s="61">
        <f>ROUND(O78*O83,4)</f>
        <v>0.53700000000000003</v>
      </c>
      <c r="P90" s="39"/>
      <c r="T90" s="25" t="s">
        <v>44</v>
      </c>
      <c r="U90" s="61">
        <f>ROUND(U78*U83,4)</f>
        <v>0.1542</v>
      </c>
      <c r="V90" s="61">
        <f t="shared" ref="V90:X90" si="35">ROUND(V78*V83,4)</f>
        <v>0.19139999999999999</v>
      </c>
      <c r="W90" s="61">
        <f t="shared" si="35"/>
        <v>0.12559999999999999</v>
      </c>
      <c r="X90" s="61">
        <f t="shared" si="35"/>
        <v>0.1542</v>
      </c>
      <c r="AC90" s="25" t="s">
        <v>44</v>
      </c>
      <c r="AD90" s="61">
        <f>ROUND(AD78*AD83,4)</f>
        <v>8.3299999999999999E-2</v>
      </c>
      <c r="AE90" s="61">
        <f>ROUND(AE78*AE83,4)</f>
        <v>8.3299999999999999E-2</v>
      </c>
      <c r="AF90" s="61">
        <f>ROUND(AF78*AF83,4)</f>
        <v>8.3299999999999999E-2</v>
      </c>
      <c r="AG90" s="61">
        <f t="shared" ref="AG90" si="36">ROUND(AG78*AG83,4)</f>
        <v>8.3299999999999999E-2</v>
      </c>
    </row>
    <row r="91" spans="2:36" s="38" customFormat="1" x14ac:dyDescent="0.3">
      <c r="N91" s="39"/>
    </row>
    <row r="92" spans="2:36" x14ac:dyDescent="0.3">
      <c r="B92" s="8" t="s">
        <v>15</v>
      </c>
      <c r="L92" s="8" t="s">
        <v>15</v>
      </c>
      <c r="N92" s="2"/>
      <c r="O92" s="10"/>
      <c r="V92" s="8" t="s">
        <v>15</v>
      </c>
      <c r="AE92" s="8" t="s">
        <v>15</v>
      </c>
    </row>
    <row r="93" spans="2:36" ht="50.4" x14ac:dyDescent="0.3">
      <c r="B93" s="4" t="s">
        <v>33</v>
      </c>
      <c r="C93" s="5" t="s">
        <v>41</v>
      </c>
      <c r="D93" s="5" t="s">
        <v>42</v>
      </c>
      <c r="E93" s="5" t="s">
        <v>43</v>
      </c>
      <c r="F93" s="5" t="s">
        <v>44</v>
      </c>
      <c r="G93" s="30" t="s">
        <v>24</v>
      </c>
      <c r="H93" s="28" t="s">
        <v>13</v>
      </c>
      <c r="I93" s="31" t="s">
        <v>30</v>
      </c>
      <c r="J93" s="8"/>
      <c r="K93" s="4" t="s">
        <v>34</v>
      </c>
      <c r="L93" s="5" t="s">
        <v>41</v>
      </c>
      <c r="M93" s="5" t="s">
        <v>42</v>
      </c>
      <c r="N93" s="5" t="s">
        <v>43</v>
      </c>
      <c r="O93" s="5" t="s">
        <v>44</v>
      </c>
      <c r="P93" s="30" t="s">
        <v>24</v>
      </c>
      <c r="Q93" s="28" t="s">
        <v>13</v>
      </c>
      <c r="R93" s="31" t="s">
        <v>30</v>
      </c>
      <c r="T93" s="4" t="s">
        <v>37</v>
      </c>
      <c r="U93" s="5" t="s">
        <v>41</v>
      </c>
      <c r="V93" s="5" t="s">
        <v>42</v>
      </c>
      <c r="W93" s="5" t="s">
        <v>43</v>
      </c>
      <c r="X93" s="5" t="s">
        <v>44</v>
      </c>
      <c r="Y93" s="30" t="s">
        <v>24</v>
      </c>
      <c r="Z93" s="28" t="s">
        <v>13</v>
      </c>
      <c r="AA93" s="31" t="s">
        <v>30</v>
      </c>
      <c r="AC93" s="4" t="s">
        <v>39</v>
      </c>
      <c r="AD93" s="5" t="s">
        <v>41</v>
      </c>
      <c r="AE93" s="5" t="s">
        <v>42</v>
      </c>
      <c r="AF93" s="5" t="s">
        <v>43</v>
      </c>
      <c r="AG93" s="5" t="s">
        <v>44</v>
      </c>
      <c r="AH93" s="30" t="s">
        <v>24</v>
      </c>
      <c r="AI93" s="28" t="s">
        <v>13</v>
      </c>
      <c r="AJ93" s="31" t="s">
        <v>30</v>
      </c>
    </row>
    <row r="94" spans="2:36" x14ac:dyDescent="0.3">
      <c r="B94" s="5" t="s">
        <v>41</v>
      </c>
      <c r="C94" s="6">
        <v>0.52549999999999997</v>
      </c>
      <c r="D94" s="6">
        <v>0.41439999999999999</v>
      </c>
      <c r="E94" s="6">
        <v>0.47699999999999998</v>
      </c>
      <c r="F94" s="6">
        <v>0.76890000000000003</v>
      </c>
      <c r="G94" s="27">
        <f>SUM(C94:F94)</f>
        <v>2.1858</v>
      </c>
      <c r="H94" s="29">
        <v>0.52549999999999997</v>
      </c>
      <c r="I94" s="24">
        <f>ROUND(G94/H94,4)</f>
        <v>4.1595000000000004</v>
      </c>
      <c r="K94" s="5" t="s">
        <v>41</v>
      </c>
      <c r="L94" s="6">
        <v>0.25700000000000001</v>
      </c>
      <c r="M94" s="6">
        <v>0.32100000000000001</v>
      </c>
      <c r="N94" s="6">
        <v>0.29399999999999998</v>
      </c>
      <c r="O94" s="6">
        <v>0.1074</v>
      </c>
      <c r="P94" s="27">
        <f>SUM(L94:O94)</f>
        <v>0.97940000000000005</v>
      </c>
      <c r="Q94" s="29">
        <v>0.25700000000000001</v>
      </c>
      <c r="R94" s="24">
        <f>ROUND(P94/Q94,4)</f>
        <v>3.8109000000000002</v>
      </c>
      <c r="T94" s="5" t="s">
        <v>41</v>
      </c>
      <c r="U94" s="6">
        <v>0.1542</v>
      </c>
      <c r="V94" s="6">
        <v>0.19139999999999999</v>
      </c>
      <c r="W94" s="6">
        <v>0.12559999999999999</v>
      </c>
      <c r="X94" s="6">
        <v>0.1542</v>
      </c>
      <c r="Y94" s="27">
        <f>SUM(U94:X94)</f>
        <v>0.62539999999999996</v>
      </c>
      <c r="Z94" s="29">
        <v>0.1542</v>
      </c>
      <c r="AA94" s="24">
        <f>ROUND(Y94/Z94,4)</f>
        <v>4.0557999999999996</v>
      </c>
      <c r="AC94" s="5" t="s">
        <v>41</v>
      </c>
      <c r="AD94" s="6">
        <v>8.3299999999999999E-2</v>
      </c>
      <c r="AE94" s="6">
        <v>8.3299999999999999E-2</v>
      </c>
      <c r="AF94" s="6">
        <v>8.3299999999999999E-2</v>
      </c>
      <c r="AG94" s="6">
        <v>8.3299999999999999E-2</v>
      </c>
      <c r="AH94" s="27">
        <f>SUM(AD94:AG94)</f>
        <v>0.3332</v>
      </c>
      <c r="AI94" s="29">
        <v>8.3299999999999999E-2</v>
      </c>
      <c r="AJ94" s="24">
        <f>ROUND(AH94/AI94,4)</f>
        <v>4</v>
      </c>
    </row>
    <row r="95" spans="2:36" x14ac:dyDescent="0.3">
      <c r="B95" s="5" t="s">
        <v>42</v>
      </c>
      <c r="C95" s="6">
        <v>7.51E-2</v>
      </c>
      <c r="D95" s="6">
        <v>5.9200000000000003E-2</v>
      </c>
      <c r="E95" s="6">
        <v>5.2999999999999999E-2</v>
      </c>
      <c r="F95" s="6">
        <v>5.1299999999999998E-2</v>
      </c>
      <c r="G95" s="27">
        <f>SUM(C95:F95)</f>
        <v>0.23859999999999998</v>
      </c>
      <c r="H95" s="29">
        <v>5.9200000000000003E-2</v>
      </c>
      <c r="I95" s="24">
        <f t="shared" ref="I95:I96" si="37">ROUND(G95/H95,4)</f>
        <v>4.0304000000000002</v>
      </c>
      <c r="K95" s="5" t="s">
        <v>42</v>
      </c>
      <c r="L95" s="6">
        <v>8.5699999999999998E-2</v>
      </c>
      <c r="M95" s="6">
        <v>0.107</v>
      </c>
      <c r="N95" s="6">
        <v>9.8000000000000004E-2</v>
      </c>
      <c r="O95" s="6">
        <v>0.1074</v>
      </c>
      <c r="P95" s="27">
        <f t="shared" ref="P95:P97" si="38">SUM(L95:O95)</f>
        <v>0.39809999999999995</v>
      </c>
      <c r="Q95" s="29">
        <v>0.107</v>
      </c>
      <c r="R95" s="24">
        <f t="shared" ref="R95:R96" si="39">ROUND(P95/Q95,4)</f>
        <v>3.7206000000000001</v>
      </c>
      <c r="T95" s="5" t="s">
        <v>42</v>
      </c>
      <c r="U95" s="6">
        <v>5.1400000000000001E-2</v>
      </c>
      <c r="V95" s="6">
        <v>6.3799999999999996E-2</v>
      </c>
      <c r="W95" s="6">
        <v>8.9700000000000002E-2</v>
      </c>
      <c r="X95" s="6">
        <v>5.1400000000000001E-2</v>
      </c>
      <c r="Y95" s="27">
        <f t="shared" ref="Y95:Y97" si="40">SUM(U95:X95)</f>
        <v>0.25629999999999997</v>
      </c>
      <c r="Z95" s="29">
        <v>6.3799999999999996E-2</v>
      </c>
      <c r="AA95" s="24">
        <f t="shared" ref="AA95:AA97" si="41">ROUND(Y95/Z95,4)</f>
        <v>4.0171999999999999</v>
      </c>
      <c r="AC95" s="5" t="s">
        <v>42</v>
      </c>
      <c r="AD95" s="6">
        <v>0.74970000000000003</v>
      </c>
      <c r="AE95" s="6">
        <v>0.75</v>
      </c>
      <c r="AF95" s="6">
        <v>0.74970000000000003</v>
      </c>
      <c r="AG95" s="6">
        <v>0.74970000000000003</v>
      </c>
      <c r="AH95" s="27">
        <f t="shared" ref="AH95:AH97" si="42">SUM(AD95:AG95)</f>
        <v>2.9991000000000003</v>
      </c>
      <c r="AI95" s="29">
        <v>0.75</v>
      </c>
      <c r="AJ95" s="24">
        <f t="shared" ref="AJ95:AJ97" si="43">ROUND(AH95/AI95,4)</f>
        <v>3.9988000000000001</v>
      </c>
    </row>
    <row r="96" spans="2:36" x14ac:dyDescent="0.3">
      <c r="B96" s="5" t="s">
        <v>43</v>
      </c>
      <c r="C96" s="6">
        <v>0.17510000000000001</v>
      </c>
      <c r="D96" s="6">
        <v>0.17760000000000001</v>
      </c>
      <c r="E96" s="6">
        <v>0.159</v>
      </c>
      <c r="F96" s="6">
        <v>0.12820000000000001</v>
      </c>
      <c r="G96" s="27">
        <f t="shared" ref="G96:G97" si="44">SUM(C96:F96)</f>
        <v>0.63990000000000002</v>
      </c>
      <c r="H96" s="29">
        <v>0.159</v>
      </c>
      <c r="I96" s="24">
        <f t="shared" si="37"/>
        <v>4.0244999999999997</v>
      </c>
      <c r="K96" s="5" t="s">
        <v>43</v>
      </c>
      <c r="L96" s="6">
        <v>8.5699999999999998E-2</v>
      </c>
      <c r="M96" s="6">
        <v>0.107</v>
      </c>
      <c r="N96" s="6">
        <v>9.8000000000000004E-2</v>
      </c>
      <c r="O96" s="6">
        <v>7.6700000000000004E-2</v>
      </c>
      <c r="P96" s="27">
        <f t="shared" si="38"/>
        <v>0.36739999999999995</v>
      </c>
      <c r="Q96" s="29">
        <v>9.8000000000000004E-2</v>
      </c>
      <c r="R96" s="24">
        <f t="shared" si="39"/>
        <v>3.7490000000000001</v>
      </c>
      <c r="T96" s="5" t="s">
        <v>43</v>
      </c>
      <c r="U96" s="6">
        <v>0.77100000000000002</v>
      </c>
      <c r="V96" s="6">
        <v>0.4466</v>
      </c>
      <c r="W96" s="6">
        <v>0.62790000000000001</v>
      </c>
      <c r="X96" s="6">
        <v>0.77100000000000002</v>
      </c>
      <c r="Y96" s="27">
        <f t="shared" si="40"/>
        <v>2.6164999999999998</v>
      </c>
      <c r="Z96" s="29">
        <v>0.62790000000000001</v>
      </c>
      <c r="AA96" s="24">
        <f t="shared" si="41"/>
        <v>4.1670999999999996</v>
      </c>
      <c r="AC96" s="5" t="s">
        <v>43</v>
      </c>
      <c r="AD96" s="6">
        <v>8.3299999999999999E-2</v>
      </c>
      <c r="AE96" s="6">
        <v>8.3299999999999999E-2</v>
      </c>
      <c r="AF96" s="6">
        <v>8.3299999999999999E-2</v>
      </c>
      <c r="AG96" s="6">
        <v>8.3299999999999999E-2</v>
      </c>
      <c r="AH96" s="27">
        <f t="shared" si="42"/>
        <v>0.3332</v>
      </c>
      <c r="AI96" s="29">
        <v>8.3299999999999999E-2</v>
      </c>
      <c r="AJ96" s="24">
        <f t="shared" si="43"/>
        <v>4</v>
      </c>
    </row>
    <row r="97" spans="2:36" x14ac:dyDescent="0.3">
      <c r="B97" s="5" t="s">
        <v>44</v>
      </c>
      <c r="C97" s="6">
        <v>0.17510000000000001</v>
      </c>
      <c r="D97" s="6">
        <v>0.29599999999999999</v>
      </c>
      <c r="E97" s="6">
        <v>0.318</v>
      </c>
      <c r="F97" s="6">
        <v>0.25629999999999997</v>
      </c>
      <c r="G97" s="27">
        <f t="shared" si="44"/>
        <v>1.0453999999999999</v>
      </c>
      <c r="H97" s="29">
        <v>0.25629999999999997</v>
      </c>
      <c r="I97" s="24">
        <f>ROUND(G97/H97,4)</f>
        <v>4.0788000000000002</v>
      </c>
      <c r="K97" s="5" t="s">
        <v>44</v>
      </c>
      <c r="L97" s="6">
        <v>1.2849999999999999</v>
      </c>
      <c r="M97" s="6">
        <v>0.107</v>
      </c>
      <c r="N97" s="6">
        <v>0.68600000000000005</v>
      </c>
      <c r="O97" s="6">
        <v>0.53700000000000003</v>
      </c>
      <c r="P97" s="27">
        <f t="shared" si="38"/>
        <v>2.6149999999999998</v>
      </c>
      <c r="Q97" s="29">
        <v>0.53700000000000003</v>
      </c>
      <c r="R97" s="24">
        <f>ROUND(P97/Q97,4)</f>
        <v>4.8696000000000002</v>
      </c>
      <c r="T97" s="5" t="s">
        <v>44</v>
      </c>
      <c r="U97" s="6">
        <v>0.1542</v>
      </c>
      <c r="V97" s="6">
        <v>0.19139999999999999</v>
      </c>
      <c r="W97" s="6">
        <v>0.12559999999999999</v>
      </c>
      <c r="X97" s="6">
        <v>0.1542</v>
      </c>
      <c r="Y97" s="27">
        <f t="shared" si="40"/>
        <v>0.62539999999999996</v>
      </c>
      <c r="Z97" s="29">
        <v>0.1542</v>
      </c>
      <c r="AA97" s="24">
        <f t="shared" si="41"/>
        <v>4.0557999999999996</v>
      </c>
      <c r="AC97" s="5" t="s">
        <v>44</v>
      </c>
      <c r="AD97" s="6">
        <v>8.3299999999999999E-2</v>
      </c>
      <c r="AE97" s="6">
        <v>8.3299999999999999E-2</v>
      </c>
      <c r="AF97" s="6">
        <v>8.3299999999999999E-2</v>
      </c>
      <c r="AG97" s="6">
        <v>8.3299999999999999E-2</v>
      </c>
      <c r="AH97" s="27">
        <f t="shared" si="42"/>
        <v>0.3332</v>
      </c>
      <c r="AI97" s="29">
        <v>8.3299999999999999E-2</v>
      </c>
      <c r="AJ97" s="24">
        <f t="shared" si="43"/>
        <v>4</v>
      </c>
    </row>
    <row r="99" spans="2:36" x14ac:dyDescent="0.3">
      <c r="B99" s="25" t="s">
        <v>31</v>
      </c>
      <c r="C99" s="6">
        <f>ROUND(AVERAGE(I94:I97),4)</f>
        <v>4.0732999999999997</v>
      </c>
      <c r="K99" s="25" t="s">
        <v>31</v>
      </c>
      <c r="L99" s="6">
        <f>ROUND(AVERAGE(R94:R97),4)</f>
        <v>4.0374999999999996</v>
      </c>
      <c r="T99" s="25" t="s">
        <v>31</v>
      </c>
      <c r="U99" s="6">
        <f>ROUND(AVERAGE(AA94:AA97),4)</f>
        <v>4.0739999999999998</v>
      </c>
      <c r="AC99" s="25" t="s">
        <v>31</v>
      </c>
      <c r="AD99" s="6">
        <f>ROUND(AVERAGE(AJ94:AJ97),4)</f>
        <v>3.9996999999999998</v>
      </c>
    </row>
    <row r="100" spans="2:36" x14ac:dyDescent="0.3">
      <c r="B100" s="25" t="s">
        <v>6</v>
      </c>
      <c r="C100" s="6">
        <f>ROUND((C99-4)/(4-1),4)</f>
        <v>2.4400000000000002E-2</v>
      </c>
      <c r="K100" s="25" t="s">
        <v>6</v>
      </c>
      <c r="L100" s="6">
        <f>ROUND((L99-4)/(4-1),4)</f>
        <v>1.2500000000000001E-2</v>
      </c>
      <c r="T100" s="25" t="s">
        <v>6</v>
      </c>
      <c r="U100" s="6">
        <f>ROUND((U99-4)/(4-1),4)</f>
        <v>2.47E-2</v>
      </c>
      <c r="AC100" s="25" t="s">
        <v>6</v>
      </c>
      <c r="AD100" s="6">
        <f>ROUND((AD99-4)/(4-1),4)</f>
        <v>-1E-4</v>
      </c>
    </row>
    <row r="101" spans="2:36" x14ac:dyDescent="0.3">
      <c r="B101" s="25" t="s">
        <v>7</v>
      </c>
      <c r="C101" s="6">
        <f>ROUND(C100/0.9,4)</f>
        <v>2.7099999999999999E-2</v>
      </c>
      <c r="D101" s="2" t="s">
        <v>8</v>
      </c>
      <c r="K101" s="25" t="s">
        <v>7</v>
      </c>
      <c r="L101" s="6">
        <f>ROUND(L100/0.9,4)</f>
        <v>1.3899999999999999E-2</v>
      </c>
      <c r="M101" s="2" t="s">
        <v>8</v>
      </c>
      <c r="T101" s="25" t="s">
        <v>7</v>
      </c>
      <c r="U101" s="6">
        <f>ROUND(U100/0.9,4)</f>
        <v>2.7400000000000001E-2</v>
      </c>
      <c r="V101" s="2" t="s">
        <v>8</v>
      </c>
      <c r="AC101" s="25" t="s">
        <v>7</v>
      </c>
      <c r="AD101" s="6">
        <f>ROUND(AD100/0.9,4)</f>
        <v>-1E-4</v>
      </c>
      <c r="AE101" s="2" t="s">
        <v>8</v>
      </c>
    </row>
    <row r="115" spans="2:17" x14ac:dyDescent="0.3">
      <c r="B115" s="37" t="s">
        <v>16</v>
      </c>
      <c r="C115" s="37"/>
      <c r="D115" s="37"/>
    </row>
    <row r="116" spans="2:17" x14ac:dyDescent="0.3">
      <c r="B116" s="37" t="s">
        <v>17</v>
      </c>
      <c r="C116" s="37"/>
      <c r="D116" s="37"/>
      <c r="E116" s="37"/>
      <c r="F116" s="37"/>
      <c r="G116" s="37"/>
      <c r="H116" s="38"/>
    </row>
    <row r="119" spans="2:17" x14ac:dyDescent="0.3">
      <c r="B119" s="8" t="s">
        <v>18</v>
      </c>
      <c r="C119" s="8"/>
      <c r="D119" s="8"/>
      <c r="H119" s="8" t="s">
        <v>19</v>
      </c>
      <c r="I119" s="8"/>
      <c r="K119" s="8" t="s">
        <v>21</v>
      </c>
      <c r="L119" s="8"/>
    </row>
    <row r="120" spans="2:17" x14ac:dyDescent="0.3">
      <c r="B120" s="4"/>
      <c r="C120" s="4" t="s">
        <v>33</v>
      </c>
      <c r="D120" s="4" t="s">
        <v>34</v>
      </c>
      <c r="E120" s="4" t="s">
        <v>37</v>
      </c>
      <c r="F120" s="4" t="s">
        <v>39</v>
      </c>
      <c r="H120" s="41" t="s">
        <v>20</v>
      </c>
      <c r="I120" s="41" t="s">
        <v>12</v>
      </c>
      <c r="K120" s="26" t="s">
        <v>22</v>
      </c>
      <c r="L120" s="26" t="s">
        <v>12</v>
      </c>
      <c r="M120" s="26" t="s">
        <v>26</v>
      </c>
    </row>
    <row r="121" spans="2:17" x14ac:dyDescent="0.3">
      <c r="B121" s="4" t="s">
        <v>41</v>
      </c>
      <c r="C121" s="6">
        <v>0.52549999999999997</v>
      </c>
      <c r="D121" s="6">
        <v>0.25700000000000001</v>
      </c>
      <c r="E121" s="6">
        <v>0.1542</v>
      </c>
      <c r="F121" s="6">
        <v>8.3299999999999999E-2</v>
      </c>
      <c r="H121" s="41" t="s">
        <v>33</v>
      </c>
      <c r="I121" s="6">
        <v>0.53559999999999997</v>
      </c>
      <c r="K121" s="4" t="s">
        <v>41</v>
      </c>
      <c r="L121" s="6">
        <f>ROUND(MMULT(C121:$F$121,$I$121:$I$124), 4)</f>
        <v>0.37159999999999999</v>
      </c>
      <c r="M121" s="6">
        <v>1</v>
      </c>
    </row>
    <row r="122" spans="2:17" x14ac:dyDescent="0.3">
      <c r="B122" s="4" t="s">
        <v>42</v>
      </c>
      <c r="C122" s="6">
        <v>5.9200000000000003E-2</v>
      </c>
      <c r="D122" s="6">
        <v>0.107</v>
      </c>
      <c r="E122" s="6">
        <v>6.3799999999999996E-2</v>
      </c>
      <c r="F122" s="6">
        <v>0.75</v>
      </c>
      <c r="H122" s="41" t="s">
        <v>34</v>
      </c>
      <c r="I122" s="6">
        <v>0.25750000000000001</v>
      </c>
      <c r="K122" s="4" t="s">
        <v>42</v>
      </c>
      <c r="L122" s="6">
        <f>ROUND(MMULT(C122:F122,$I$121:$I$124), 4)</f>
        <v>9.9000000000000005E-2</v>
      </c>
      <c r="M122" s="6">
        <v>4</v>
      </c>
      <c r="O122" s="81" t="s">
        <v>50</v>
      </c>
      <c r="P122" s="81"/>
      <c r="Q122" s="81"/>
    </row>
    <row r="123" spans="2:17" x14ac:dyDescent="0.3">
      <c r="B123" s="4" t="s">
        <v>43</v>
      </c>
      <c r="C123" s="6">
        <v>0.159</v>
      </c>
      <c r="D123" s="6">
        <v>9.8000000000000004E-2</v>
      </c>
      <c r="E123" s="6">
        <v>0.62790000000000001</v>
      </c>
      <c r="F123" s="6">
        <v>8.3299999999999999E-2</v>
      </c>
      <c r="H123" s="41" t="s">
        <v>37</v>
      </c>
      <c r="I123" s="6">
        <v>0.13300000000000001</v>
      </c>
      <c r="K123" s="4" t="s">
        <v>43</v>
      </c>
      <c r="L123" s="6">
        <f>ROUND(MMULT(C123:F123,$I$121:$I$124), 4)</f>
        <v>0.19739999999999999</v>
      </c>
      <c r="M123" s="6">
        <v>3</v>
      </c>
    </row>
    <row r="124" spans="2:17" x14ac:dyDescent="0.3">
      <c r="B124" s="4" t="s">
        <v>44</v>
      </c>
      <c r="C124" s="3">
        <v>0.25629999999999997</v>
      </c>
      <c r="D124" s="3">
        <v>0.53700000000000003</v>
      </c>
      <c r="E124" s="3">
        <v>0.1542</v>
      </c>
      <c r="F124" s="3">
        <v>8.3299999999999999E-2</v>
      </c>
      <c r="H124" s="41" t="s">
        <v>39</v>
      </c>
      <c r="I124" s="6">
        <v>4.1700000000000001E-2</v>
      </c>
      <c r="K124" s="4" t="s">
        <v>44</v>
      </c>
      <c r="L124" s="6">
        <f>ROUND(MMULT(C124:F124,$I$121:$I$124), 4)</f>
        <v>0.29949999999999999</v>
      </c>
      <c r="M124" s="3">
        <v>2</v>
      </c>
    </row>
  </sheetData>
  <mergeCells count="2">
    <mergeCell ref="O122:Q122"/>
    <mergeCell ref="P1:S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TAMTHANH</dc:creator>
  <cp:lastModifiedBy>Jethro Nguyen</cp:lastModifiedBy>
  <dcterms:created xsi:type="dcterms:W3CDTF">2024-09-09T12:56:08Z</dcterms:created>
  <dcterms:modified xsi:type="dcterms:W3CDTF">2026-02-14T04:48:59Z</dcterms:modified>
</cp:coreProperties>
</file>